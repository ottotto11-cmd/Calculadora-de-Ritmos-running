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Registro Atletas" sheetId="1" state="visible" r:id="rId1"/>
    <sheet name="Perfil Entrenamiento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FFFFFF"/>
      <sz val="11"/>
    </font>
    <font>
      <name val="Cambria"/>
      <charset val="1"/>
      <family val="0"/>
      <b val="1"/>
      <color rgb="FFFFFFFF"/>
      <sz val="14"/>
    </font>
    <font>
      <name val="Cambria"/>
      <charset val="1"/>
      <family val="0"/>
      <b val="1"/>
      <sz val="11"/>
    </font>
    <font>
      <name val="Cambria"/>
      <charset val="1"/>
      <family val="0"/>
      <b val="1"/>
      <color rgb="FFFFFFFF"/>
      <sz val="12"/>
    </font>
  </fonts>
  <fills count="6">
    <fill>
      <patternFill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203864"/>
        <bgColor rgb="FF333333"/>
      </patternFill>
    </fill>
    <fill>
      <patternFill patternType="solid">
        <fgColor rgb="FFD9E1F2"/>
        <bgColor rgb="FFF2F2F2"/>
      </patternFill>
    </fill>
    <fill>
      <patternFill patternType="solid">
        <fgColor rgb="FFF2F2F2"/>
        <bgColor rgb="FFFFFFFF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1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0" fontId="7" fillId="3" borderId="0" applyAlignment="1" pivotButton="0" quotePrefix="0" xfId="0">
      <alignment horizontal="general" vertical="bottom"/>
    </xf>
    <xf numFmtId="0" fontId="6" fillId="4" borderId="0" applyAlignment="1" pivotButton="0" quotePrefix="0" xfId="0">
      <alignment horizontal="center" vertical="center" wrapText="1"/>
    </xf>
    <xf numFmtId="2" fontId="0" fillId="5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3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0" fontId="7" fillId="3" borderId="0" applyAlignment="1" pivotButton="0" quotePrefix="0" xfId="0">
      <alignment horizontal="general" vertical="bottom"/>
    </xf>
    <xf numFmtId="0" fontId="6" fillId="4" borderId="0" applyAlignment="1" pivotButton="0" quotePrefix="0" xfId="0">
      <alignment horizontal="center" vertical="center" wrapText="1"/>
    </xf>
    <xf numFmtId="2" fontId="0" fillId="5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20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 del Atleta</t>
        </is>
      </c>
      <c r="C1" t="inlineStr">
        <is>
          <t>Categoría</t>
        </is>
      </c>
      <c r="D1" t="inlineStr">
        <is>
          <t>Especialidad</t>
        </is>
      </c>
      <c r="E1" t="inlineStr">
        <is>
          <t>Prueba Base</t>
        </is>
      </c>
      <c r="F1" t="inlineStr">
        <is>
          <t>Marca Objetivo (s)</t>
        </is>
      </c>
      <c r="G1" t="inlineStr">
        <is>
          <t>Velocidad Media (m/s)</t>
        </is>
      </c>
    </row>
    <row r="2">
      <c r="A2" t="n">
        <v>1</v>
      </c>
      <c r="B2" t="inlineStr">
        <is>
          <t>Atleta Velocidad 1</t>
        </is>
      </c>
      <c r="C2" t="inlineStr">
        <is>
          <t>Junior</t>
        </is>
      </c>
      <c r="D2" t="inlineStr">
        <is>
          <t>Velocista</t>
        </is>
      </c>
      <c r="E2" t="inlineStr">
        <is>
          <t>100m</t>
        </is>
      </c>
      <c r="F2" t="n">
        <v>11.5</v>
      </c>
      <c r="G2" t="n">
        <v>8.695652173913039</v>
      </c>
    </row>
    <row r="3">
      <c r="A3" t="n">
        <v>2</v>
      </c>
      <c r="B3" t="inlineStr">
        <is>
          <t>Atleta Velocidad 2</t>
        </is>
      </c>
      <c r="C3" t="inlineStr">
        <is>
          <t>Junior</t>
        </is>
      </c>
      <c r="D3" t="inlineStr">
        <is>
          <t>Velocista</t>
        </is>
      </c>
      <c r="E3" t="inlineStr">
        <is>
          <t>200m</t>
        </is>
      </c>
      <c r="F3" t="n">
        <v>24</v>
      </c>
      <c r="G3" t="n">
        <v>8.33333333333333</v>
      </c>
    </row>
    <row r="4">
      <c r="A4" t="n">
        <v>3</v>
      </c>
      <c r="B4" t="inlineStr">
        <is>
          <t>Atleta 400m</t>
        </is>
      </c>
      <c r="C4" t="inlineStr">
        <is>
          <t>Senior</t>
        </is>
      </c>
      <c r="D4" t="inlineStr">
        <is>
          <t>400m</t>
        </is>
      </c>
      <c r="E4" t="inlineStr">
        <is>
          <t>400m</t>
        </is>
      </c>
      <c r="F4" t="n">
        <v>51.5</v>
      </c>
      <c r="G4" t="n">
        <v>7.76699029126214</v>
      </c>
    </row>
    <row r="5">
      <c r="A5" t="n">
        <v>4</v>
      </c>
      <c r="B5" t="inlineStr">
        <is>
          <t>Atleta 800m</t>
        </is>
      </c>
      <c r="C5" t="inlineStr">
        <is>
          <t>Senior</t>
        </is>
      </c>
      <c r="D5" t="inlineStr">
        <is>
          <t>Medio Fondo</t>
        </is>
      </c>
      <c r="E5" t="inlineStr">
        <is>
          <t>800m</t>
        </is>
      </c>
      <c r="F5" t="n">
        <v>120</v>
      </c>
      <c r="G5" t="n">
        <v>6.66666666666667</v>
      </c>
    </row>
    <row r="6">
      <c r="A6" t="n">
        <v>5</v>
      </c>
      <c r="B6" t="inlineStr">
        <is>
          <t>mia solis</t>
        </is>
      </c>
      <c r="C6" t="inlineStr">
        <is>
          <t>Sub-16</t>
        </is>
      </c>
      <c r="D6" t="inlineStr">
        <is>
          <t>Velocista</t>
        </is>
      </c>
      <c r="E6" t="inlineStr">
        <is>
          <t>200m</t>
        </is>
      </c>
      <c r="F6" t="n">
        <v>25.2</v>
      </c>
      <c r="G6" t="n">
        <v>7.936508</v>
      </c>
    </row>
    <row r="7">
      <c r="A7" t="n">
        <v>6</v>
      </c>
      <c r="B7" t="inlineStr">
        <is>
          <t>mia solis</t>
        </is>
      </c>
      <c r="C7" t="inlineStr">
        <is>
          <t>Sub-16</t>
        </is>
      </c>
      <c r="D7" t="inlineStr">
        <is>
          <t>Velocista</t>
        </is>
      </c>
      <c r="E7" t="inlineStr">
        <is>
          <t>200m</t>
        </is>
      </c>
      <c r="F7" t="n">
        <v>25.2</v>
      </c>
      <c r="G7" t="n">
        <v>7.936508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I6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6" customWidth="1" style="11" min="1" max="1"/>
    <col width="18" customWidth="1" style="11" min="2" max="2"/>
    <col width="16" customWidth="1" style="11" min="3" max="3"/>
    <col width="18" customWidth="1" style="11" min="4" max="6"/>
    <col width="16" customWidth="1" style="11" min="7" max="8"/>
    <col width="18" customWidth="1" style="11" min="9" max="9"/>
  </cols>
  <sheetData>
    <row r="1" ht="17.35" customHeight="1" s="12">
      <c r="A1" s="13" t="inlineStr">
        <is>
          <t>PERFIL DE ENTRENAMIENTO PERSONALIZADO POR ATLETA</t>
        </is>
      </c>
    </row>
    <row r="3" ht="15" customHeight="1" s="12">
      <c r="A3" s="14" t="inlineStr">
        <is>
          <t>Selecciona el Atleta:</t>
        </is>
      </c>
      <c r="B3" s="11">
        <f>IFERROR(INDEX('Registro Atletas'!B:B,MATCH(B4,'Registro Atletas'!A:A,0)),"---")</f>
        <v/>
      </c>
    </row>
    <row r="4" ht="15" customHeight="1" s="12">
      <c r="A4" s="14" t="inlineStr">
        <is>
          <t>ID Atleta:</t>
        </is>
      </c>
      <c r="B4" s="11" t="n">
        <v>1</v>
      </c>
    </row>
    <row r="6" ht="15" customHeight="1" s="12">
      <c r="A6" s="15" t="inlineStr">
        <is>
          <t>Datos del Atleta:</t>
        </is>
      </c>
    </row>
    <row r="7" ht="15" customHeight="1" s="12">
      <c r="A7" s="14" t="inlineStr">
        <is>
          <t>Prueba Base:</t>
        </is>
      </c>
      <c r="B7" s="16">
        <f>IFERROR(INDEX('Registro Atletas'!E:E,MATCH(B4,'Registro Atletas'!A:A,0)),"---")</f>
        <v/>
      </c>
    </row>
    <row r="8" ht="15" customHeight="1" s="12">
      <c r="A8" s="14" t="inlineStr">
        <is>
          <t>Marca Objetivo:</t>
        </is>
      </c>
      <c r="B8" s="16">
        <f>IFERROR(INDEX('Registro Atletas'!F:F,MATCH(B4,'Registro Atletas'!A:A,0)),"---")</f>
        <v/>
      </c>
    </row>
    <row r="9" ht="15" customHeight="1" s="12">
      <c r="A9" s="14" t="inlineStr">
        <is>
          <t>Velocidad Media Base (m/s):</t>
        </is>
      </c>
      <c r="B9" s="16">
        <f>IFERROR(INDEX('Registro Atletas'!G:G,MATCH(B4,'Registro Atletas'!A:A,0)),"---")</f>
        <v/>
      </c>
    </row>
    <row r="12" ht="15" customHeight="1" s="12">
      <c r="A12" s="17" t="inlineStr">
        <is>
          <t>TABLA DE RITMOS Y PAUSAS POR DISTANCIA</t>
        </is>
      </c>
    </row>
    <row r="13" ht="28.35" customHeight="1" s="12">
      <c r="A13" s="18" t="inlineStr">
        <is>
          <t>Distancia (m)</t>
        </is>
      </c>
      <c r="B13" s="18" t="inlineStr">
        <is>
          <t>Tiempo Objetivo (s)</t>
        </is>
      </c>
      <c r="C13" s="18" t="inlineStr">
        <is>
          <t>Velocidad (m/s)</t>
        </is>
      </c>
      <c r="D13" s="18" t="inlineStr">
        <is>
          <t>Tiempo por 10m (s)</t>
        </is>
      </c>
      <c r="E13" s="18" t="inlineStr">
        <is>
          <t>Tiempo por 50m (s)</t>
        </is>
      </c>
      <c r="F13" s="18" t="inlineStr">
        <is>
          <t>Tiempo por 100m (s)</t>
        </is>
      </c>
      <c r="G13" s="18" t="inlineStr">
        <is>
          <t>Pausa Microciclo</t>
        </is>
      </c>
      <c r="H13" s="18" t="inlineStr">
        <is>
          <t>Pausa Macrociclo</t>
        </is>
      </c>
      <c r="I13" s="18" t="inlineStr">
        <is>
          <t>Sistema Energético</t>
        </is>
      </c>
    </row>
    <row r="14" ht="15" customHeight="1" s="12">
      <c r="A14" s="19" t="n">
        <v>10</v>
      </c>
      <c r="B14" s="19">
        <f>IF($B$8="---",0,(A14/100)*$B$8)</f>
        <v/>
      </c>
      <c r="C14" s="19">
        <f>IF(B14=0,0,A14/B14)</f>
        <v/>
      </c>
      <c r="D14" s="19">
        <f>IF(C14=0,0,10/C14)</f>
        <v/>
      </c>
      <c r="E14" s="19">
        <f>IF(C14=0,0,50/C14)</f>
        <v/>
      </c>
      <c r="F14" s="19">
        <f>IF(C14=0,0,100/C14)</f>
        <v/>
      </c>
      <c r="G14" s="19">
        <f>IF(A14&lt;=40,"2.5-3 min",IF(A14&lt;=75,"3-5 min",IF(A14&lt;=150,"6-10 min",IF(A14&lt;=350,"5-7 min",IF(A14&lt;=500,"3-4 min","1.5-2.5 min")))))</f>
        <v/>
      </c>
      <c r="H14" s="19">
        <f>IF(A14&lt;=75,"6-8 min","8-10 min")</f>
        <v/>
      </c>
      <c r="I14" s="19">
        <f>IF(A14&lt;=40,"P.A.A.L (0-6s)",IF(A14&lt;=75,"C.A.A.L (7-10s)",IF(A14&lt;=150,"P.A.L (11-20s)",IF(A14&lt;=350,"C.A.L (21-50s)",IF(A14&lt;=500,"P.A.E (1-2 min)","C.A.E (&gt;2 min)")))))</f>
        <v/>
      </c>
    </row>
    <row r="15" ht="15" customHeight="1" s="12">
      <c r="A15" s="20" t="n">
        <v>20</v>
      </c>
      <c r="B15" s="20">
        <f>IF($B$8="---",0,(A15/100)*$B$8)</f>
        <v/>
      </c>
      <c r="C15" s="20">
        <f>IF(B15=0,0,A15/B15)</f>
        <v/>
      </c>
      <c r="D15" s="20">
        <f>IF(C15=0,0,10/C15)</f>
        <v/>
      </c>
      <c r="E15" s="20">
        <f>IF(C15=0,0,50/C15)</f>
        <v/>
      </c>
      <c r="F15" s="20">
        <f>IF(C15=0,0,100/C15)</f>
        <v/>
      </c>
      <c r="G15" s="20">
        <f>IF(A15&lt;=40,"2.5-3 min",IF(A15&lt;=75,"3-5 min",IF(A15&lt;=150,"6-10 min",IF(A15&lt;=350,"5-7 min",IF(A15&lt;=500,"3-4 min","1.5-2.5 min")))))</f>
        <v/>
      </c>
      <c r="H15" s="20">
        <f>IF(A15&lt;=75,"6-8 min","8-10 min")</f>
        <v/>
      </c>
      <c r="I15" s="20">
        <f>IF(A15&lt;=40,"P.A.A.L (0-6s)",IF(A15&lt;=75,"C.A.A.L (7-10s)",IF(A15&lt;=150,"P.A.L (11-20s)",IF(A15&lt;=350,"C.A.L (21-50s)",IF(A15&lt;=500,"P.A.E (1-2 min)","C.A.E (&gt;2 min)")))))</f>
        <v/>
      </c>
    </row>
    <row r="16" ht="15" customHeight="1" s="12">
      <c r="A16" s="19" t="n">
        <v>30</v>
      </c>
      <c r="B16" s="19">
        <f>IF($B$8="---",0,(A16/100)*$B$8)</f>
        <v/>
      </c>
      <c r="C16" s="19">
        <f>IF(B16=0,0,A16/B16)</f>
        <v/>
      </c>
      <c r="D16" s="19">
        <f>IF(C16=0,0,10/C16)</f>
        <v/>
      </c>
      <c r="E16" s="19">
        <f>IF(C16=0,0,50/C16)</f>
        <v/>
      </c>
      <c r="F16" s="19">
        <f>IF(C16=0,0,100/C16)</f>
        <v/>
      </c>
      <c r="G16" s="19">
        <f>IF(A16&lt;=40,"2.5-3 min",IF(A16&lt;=75,"3-5 min",IF(A16&lt;=150,"6-10 min",IF(A16&lt;=350,"5-7 min",IF(A16&lt;=500,"3-4 min","1.5-2.5 min")))))</f>
        <v/>
      </c>
      <c r="H16" s="19">
        <f>IF(A16&lt;=75,"6-8 min","8-10 min")</f>
        <v/>
      </c>
      <c r="I16" s="19">
        <f>IF(A16&lt;=40,"P.A.A.L (0-6s)",IF(A16&lt;=75,"C.A.A.L (7-10s)",IF(A16&lt;=150,"P.A.L (11-20s)",IF(A16&lt;=350,"C.A.L (21-50s)",IF(A16&lt;=500,"P.A.E (1-2 min)","C.A.E (&gt;2 min)")))))</f>
        <v/>
      </c>
    </row>
    <row r="17" ht="15" customHeight="1" s="12">
      <c r="A17" s="20" t="n">
        <v>40</v>
      </c>
      <c r="B17" s="20">
        <f>IF($B$8="---",0,(A17/100)*$B$8)</f>
        <v/>
      </c>
      <c r="C17" s="20">
        <f>IF(B17=0,0,A17/B17)</f>
        <v/>
      </c>
      <c r="D17" s="20">
        <f>IF(C17=0,0,10/C17)</f>
        <v/>
      </c>
      <c r="E17" s="20">
        <f>IF(C17=0,0,50/C17)</f>
        <v/>
      </c>
      <c r="F17" s="20">
        <f>IF(C17=0,0,100/C17)</f>
        <v/>
      </c>
      <c r="G17" s="20">
        <f>IF(A17&lt;=40,"2.5-3 min",IF(A17&lt;=75,"3-5 min",IF(A17&lt;=150,"6-10 min",IF(A17&lt;=350,"5-7 min",IF(A17&lt;=500,"3-4 min","1.5-2.5 min")))))</f>
        <v/>
      </c>
      <c r="H17" s="20">
        <f>IF(A17&lt;=75,"6-8 min","8-10 min")</f>
        <v/>
      </c>
      <c r="I17" s="20">
        <f>IF(A17&lt;=40,"P.A.A.L (0-6s)",IF(A17&lt;=75,"C.A.A.L (7-10s)",IF(A17&lt;=150,"P.A.L (11-20s)",IF(A17&lt;=350,"C.A.L (21-50s)",IF(A17&lt;=500,"P.A.E (1-2 min)","C.A.E (&gt;2 min)")))))</f>
        <v/>
      </c>
    </row>
    <row r="18" ht="15" customHeight="1" s="12">
      <c r="A18" s="19" t="n">
        <v>50</v>
      </c>
      <c r="B18" s="19">
        <f>IF($B$8="---",0,(A18/100)*$B$8)</f>
        <v/>
      </c>
      <c r="C18" s="19">
        <f>IF(B18=0,0,A18/B18)</f>
        <v/>
      </c>
      <c r="D18" s="19">
        <f>IF(C18=0,0,10/C18)</f>
        <v/>
      </c>
      <c r="E18" s="19">
        <f>IF(C18=0,0,50/C18)</f>
        <v/>
      </c>
      <c r="F18" s="19">
        <f>IF(C18=0,0,100/C18)</f>
        <v/>
      </c>
      <c r="G18" s="19">
        <f>IF(A18&lt;=40,"2.5-3 min",IF(A18&lt;=75,"3-5 min",IF(A18&lt;=150,"6-10 min",IF(A18&lt;=350,"5-7 min",IF(A18&lt;=500,"3-4 min","1.5-2.5 min")))))</f>
        <v/>
      </c>
      <c r="H18" s="19">
        <f>IF(A18&lt;=75,"6-8 min","8-10 min")</f>
        <v/>
      </c>
      <c r="I18" s="19">
        <f>IF(A18&lt;=40,"P.A.A.L (0-6s)",IF(A18&lt;=75,"C.A.A.L (7-10s)",IF(A18&lt;=150,"P.A.L (11-20s)",IF(A18&lt;=350,"C.A.L (21-50s)",IF(A18&lt;=500,"P.A.E (1-2 min)","C.A.E (&gt;2 min)")))))</f>
        <v/>
      </c>
    </row>
    <row r="19" ht="15" customHeight="1" s="12">
      <c r="A19" s="20" t="n">
        <v>60</v>
      </c>
      <c r="B19" s="20">
        <f>IF($B$8="---",0,(A19/100)*$B$8)</f>
        <v/>
      </c>
      <c r="C19" s="20">
        <f>IF(B19=0,0,A19/B19)</f>
        <v/>
      </c>
      <c r="D19" s="20">
        <f>IF(C19=0,0,10/C19)</f>
        <v/>
      </c>
      <c r="E19" s="20">
        <f>IF(C19=0,0,50/C19)</f>
        <v/>
      </c>
      <c r="F19" s="20">
        <f>IF(C19=0,0,100/C19)</f>
        <v/>
      </c>
      <c r="G19" s="20">
        <f>IF(A19&lt;=40,"2.5-3 min",IF(A19&lt;=75,"3-5 min",IF(A19&lt;=150,"6-10 min",IF(A19&lt;=350,"5-7 min",IF(A19&lt;=500,"3-4 min","1.5-2.5 min")))))</f>
        <v/>
      </c>
      <c r="H19" s="20">
        <f>IF(A19&lt;=75,"6-8 min","8-10 min")</f>
        <v/>
      </c>
      <c r="I19" s="20">
        <f>IF(A19&lt;=40,"P.A.A.L (0-6s)",IF(A19&lt;=75,"C.A.A.L (7-10s)",IF(A19&lt;=150,"P.A.L (11-20s)",IF(A19&lt;=350,"C.A.L (21-50s)",IF(A19&lt;=500,"P.A.E (1-2 min)","C.A.E (&gt;2 min)")))))</f>
        <v/>
      </c>
    </row>
    <row r="20" ht="15" customHeight="1" s="12">
      <c r="A20" s="19" t="n">
        <v>70</v>
      </c>
      <c r="B20" s="19">
        <f>IF($B$8="---",0,(A20/100)*$B$8)</f>
        <v/>
      </c>
      <c r="C20" s="19">
        <f>IF(B20=0,0,A20/B20)</f>
        <v/>
      </c>
      <c r="D20" s="19">
        <f>IF(C20=0,0,10/C20)</f>
        <v/>
      </c>
      <c r="E20" s="19">
        <f>IF(C20=0,0,50/C20)</f>
        <v/>
      </c>
      <c r="F20" s="19">
        <f>IF(C20=0,0,100/C20)</f>
        <v/>
      </c>
      <c r="G20" s="19">
        <f>IF(A20&lt;=40,"2.5-3 min",IF(A20&lt;=75,"3-5 min",IF(A20&lt;=150,"6-10 min",IF(A20&lt;=350,"5-7 min",IF(A20&lt;=500,"3-4 min","1.5-2.5 min")))))</f>
        <v/>
      </c>
      <c r="H20" s="19">
        <f>IF(A20&lt;=75,"6-8 min","8-10 min")</f>
        <v/>
      </c>
      <c r="I20" s="19">
        <f>IF(A20&lt;=40,"P.A.A.L (0-6s)",IF(A20&lt;=75,"C.A.A.L (7-10s)",IF(A20&lt;=150,"P.A.L (11-20s)",IF(A20&lt;=350,"C.A.L (21-50s)",IF(A20&lt;=500,"P.A.E (1-2 min)","C.A.E (&gt;2 min)")))))</f>
        <v/>
      </c>
    </row>
    <row r="21" ht="15" customHeight="1" s="12">
      <c r="A21" s="20" t="n">
        <v>80</v>
      </c>
      <c r="B21" s="20">
        <f>IF($B$8="---",0,(A21/100)*$B$8)</f>
        <v/>
      </c>
      <c r="C21" s="20">
        <f>IF(B21=0,0,A21/B21)</f>
        <v/>
      </c>
      <c r="D21" s="20">
        <f>IF(C21=0,0,10/C21)</f>
        <v/>
      </c>
      <c r="E21" s="20">
        <f>IF(C21=0,0,50/C21)</f>
        <v/>
      </c>
      <c r="F21" s="20">
        <f>IF(C21=0,0,100/C21)</f>
        <v/>
      </c>
      <c r="G21" s="20">
        <f>IF(A21&lt;=40,"2.5-3 min",IF(A21&lt;=75,"3-5 min",IF(A21&lt;=150,"6-10 min",IF(A21&lt;=350,"5-7 min",IF(A21&lt;=500,"3-4 min","1.5-2.5 min")))))</f>
        <v/>
      </c>
      <c r="H21" s="20">
        <f>IF(A21&lt;=75,"6-8 min","8-10 min")</f>
        <v/>
      </c>
      <c r="I21" s="20">
        <f>IF(A21&lt;=40,"P.A.A.L (0-6s)",IF(A21&lt;=75,"C.A.A.L (7-10s)",IF(A21&lt;=150,"P.A.L (11-20s)",IF(A21&lt;=350,"C.A.L (21-50s)",IF(A21&lt;=500,"P.A.E (1-2 min)","C.A.E (&gt;2 min)")))))</f>
        <v/>
      </c>
    </row>
    <row r="22" ht="15" customHeight="1" s="12">
      <c r="A22" s="19" t="n">
        <v>90</v>
      </c>
      <c r="B22" s="19">
        <f>IF($B$8="---",0,(A22/100)*$B$8)</f>
        <v/>
      </c>
      <c r="C22" s="19">
        <f>IF(B22=0,0,A22/B22)</f>
        <v/>
      </c>
      <c r="D22" s="19">
        <f>IF(C22=0,0,10/C22)</f>
        <v/>
      </c>
      <c r="E22" s="19">
        <f>IF(C22=0,0,50/C22)</f>
        <v/>
      </c>
      <c r="F22" s="19">
        <f>IF(C22=0,0,100/C22)</f>
        <v/>
      </c>
      <c r="G22" s="19">
        <f>IF(A22&lt;=40,"2.5-3 min",IF(A22&lt;=75,"3-5 min",IF(A22&lt;=150,"6-10 min",IF(A22&lt;=350,"5-7 min",IF(A22&lt;=500,"3-4 min","1.5-2.5 min")))))</f>
        <v/>
      </c>
      <c r="H22" s="19">
        <f>IF(A22&lt;=75,"6-8 min","8-10 min")</f>
        <v/>
      </c>
      <c r="I22" s="19">
        <f>IF(A22&lt;=40,"P.A.A.L (0-6s)",IF(A22&lt;=75,"C.A.A.L (7-10s)",IF(A22&lt;=150,"P.A.L (11-20s)",IF(A22&lt;=350,"C.A.L (21-50s)",IF(A22&lt;=500,"P.A.E (1-2 min)","C.A.E (&gt;2 min)")))))</f>
        <v/>
      </c>
    </row>
    <row r="23" ht="15" customHeight="1" s="12">
      <c r="A23" s="20" t="n">
        <v>100</v>
      </c>
      <c r="B23" s="20">
        <f>IF($B$8="---",0,(A23/100)*$B$8)</f>
        <v/>
      </c>
      <c r="C23" s="20">
        <f>IF(B23=0,0,A23/B23)</f>
        <v/>
      </c>
      <c r="D23" s="20">
        <f>IF(C23=0,0,10/C23)</f>
        <v/>
      </c>
      <c r="E23" s="20">
        <f>IF(C23=0,0,50/C23)</f>
        <v/>
      </c>
      <c r="F23" s="20">
        <f>IF(C23=0,0,100/C23)</f>
        <v/>
      </c>
      <c r="G23" s="20">
        <f>IF(A23&lt;=40,"2.5-3 min",IF(A23&lt;=75,"3-5 min",IF(A23&lt;=150,"6-10 min",IF(A23&lt;=350,"5-7 min",IF(A23&lt;=500,"3-4 min","1.5-2.5 min")))))</f>
        <v/>
      </c>
      <c r="H23" s="20">
        <f>IF(A23&lt;=75,"6-8 min","8-10 min")</f>
        <v/>
      </c>
      <c r="I23" s="20">
        <f>IF(A23&lt;=40,"P.A.A.L (0-6s)",IF(A23&lt;=75,"C.A.A.L (7-10s)",IF(A23&lt;=150,"P.A.L (11-20s)",IF(A23&lt;=350,"C.A.L (21-50s)",IF(A23&lt;=500,"P.A.E (1-2 min)","C.A.E (&gt;2 min)")))))</f>
        <v/>
      </c>
    </row>
    <row r="24" ht="15" customHeight="1" s="12">
      <c r="A24" s="19" t="n">
        <v>110</v>
      </c>
      <c r="B24" s="19">
        <f>IF($B$8="---",0,(A24/100)*$B$8)</f>
        <v/>
      </c>
      <c r="C24" s="19">
        <f>IF(B24=0,0,A24/B24)</f>
        <v/>
      </c>
      <c r="D24" s="19">
        <f>IF(C24=0,0,10/C24)</f>
        <v/>
      </c>
      <c r="E24" s="19">
        <f>IF(C24=0,0,50/C24)</f>
        <v/>
      </c>
      <c r="F24" s="19">
        <f>IF(C24=0,0,100/C24)</f>
        <v/>
      </c>
      <c r="G24" s="19">
        <f>IF(A24&lt;=40,"2.5-3 min",IF(A24&lt;=75,"3-5 min",IF(A24&lt;=150,"6-10 min",IF(A24&lt;=350,"5-7 min",IF(A24&lt;=500,"3-4 min","1.5-2.5 min")))))</f>
        <v/>
      </c>
      <c r="H24" s="19">
        <f>IF(A24&lt;=75,"6-8 min","8-10 min")</f>
        <v/>
      </c>
      <c r="I24" s="19">
        <f>IF(A24&lt;=40,"P.A.A.L (0-6s)",IF(A24&lt;=75,"C.A.A.L (7-10s)",IF(A24&lt;=150,"P.A.L (11-20s)",IF(A24&lt;=350,"C.A.L (21-50s)",IF(A24&lt;=500,"P.A.E (1-2 min)","C.A.E (&gt;2 min)")))))</f>
        <v/>
      </c>
    </row>
    <row r="25" ht="15" customHeight="1" s="12">
      <c r="A25" s="20" t="n">
        <v>120</v>
      </c>
      <c r="B25" s="20">
        <f>IF($B$8="---",0,(A25/100)*$B$8)</f>
        <v/>
      </c>
      <c r="C25" s="20">
        <f>IF(B25=0,0,A25/B25)</f>
        <v/>
      </c>
      <c r="D25" s="20">
        <f>IF(C25=0,0,10/C25)</f>
        <v/>
      </c>
      <c r="E25" s="20">
        <f>IF(C25=0,0,50/C25)</f>
        <v/>
      </c>
      <c r="F25" s="20">
        <f>IF(C25=0,0,100/C25)</f>
        <v/>
      </c>
      <c r="G25" s="20">
        <f>IF(A25&lt;=40,"2.5-3 min",IF(A25&lt;=75,"3-5 min",IF(A25&lt;=150,"6-10 min",IF(A25&lt;=350,"5-7 min",IF(A25&lt;=500,"3-4 min","1.5-2.5 min")))))</f>
        <v/>
      </c>
      <c r="H25" s="20">
        <f>IF(A25&lt;=75,"6-8 min","8-10 min")</f>
        <v/>
      </c>
      <c r="I25" s="20">
        <f>IF(A25&lt;=40,"P.A.A.L (0-6s)",IF(A25&lt;=75,"C.A.A.L (7-10s)",IF(A25&lt;=150,"P.A.L (11-20s)",IF(A25&lt;=350,"C.A.L (21-50s)",IF(A25&lt;=500,"P.A.E (1-2 min)","C.A.E (&gt;2 min)")))))</f>
        <v/>
      </c>
    </row>
    <row r="26" ht="15" customHeight="1" s="12">
      <c r="A26" s="19" t="n">
        <v>130</v>
      </c>
      <c r="B26" s="19">
        <f>IF($B$8="---",0,(A26/100)*$B$8)</f>
        <v/>
      </c>
      <c r="C26" s="19">
        <f>IF(B26=0,0,A26/B26)</f>
        <v/>
      </c>
      <c r="D26" s="19">
        <f>IF(C26=0,0,10/C26)</f>
        <v/>
      </c>
      <c r="E26" s="19">
        <f>IF(C26=0,0,50/C26)</f>
        <v/>
      </c>
      <c r="F26" s="19">
        <f>IF(C26=0,0,100/C26)</f>
        <v/>
      </c>
      <c r="G26" s="19">
        <f>IF(A26&lt;=40,"2.5-3 min",IF(A26&lt;=75,"3-5 min",IF(A26&lt;=150,"6-10 min",IF(A26&lt;=350,"5-7 min",IF(A26&lt;=500,"3-4 min","1.5-2.5 min")))))</f>
        <v/>
      </c>
      <c r="H26" s="19">
        <f>IF(A26&lt;=75,"6-8 min","8-10 min")</f>
        <v/>
      </c>
      <c r="I26" s="19">
        <f>IF(A26&lt;=40,"P.A.A.L (0-6s)",IF(A26&lt;=75,"C.A.A.L (7-10s)",IF(A26&lt;=150,"P.A.L (11-20s)",IF(A26&lt;=350,"C.A.L (21-50s)",IF(A26&lt;=500,"P.A.E (1-2 min)","C.A.E (&gt;2 min)")))))</f>
        <v/>
      </c>
    </row>
    <row r="27" ht="15" customHeight="1" s="12">
      <c r="A27" s="20" t="n">
        <v>140</v>
      </c>
      <c r="B27" s="20">
        <f>IF($B$8="---",0,(A27/100)*$B$8)</f>
        <v/>
      </c>
      <c r="C27" s="20">
        <f>IF(B27=0,0,A27/B27)</f>
        <v/>
      </c>
      <c r="D27" s="20">
        <f>IF(C27=0,0,10/C27)</f>
        <v/>
      </c>
      <c r="E27" s="20">
        <f>IF(C27=0,0,50/C27)</f>
        <v/>
      </c>
      <c r="F27" s="20">
        <f>IF(C27=0,0,100/C27)</f>
        <v/>
      </c>
      <c r="G27" s="20">
        <f>IF(A27&lt;=40,"2.5-3 min",IF(A27&lt;=75,"3-5 min",IF(A27&lt;=150,"6-10 min",IF(A27&lt;=350,"5-7 min",IF(A27&lt;=500,"3-4 min","1.5-2.5 min")))))</f>
        <v/>
      </c>
      <c r="H27" s="20">
        <f>IF(A27&lt;=75,"6-8 min","8-10 min")</f>
        <v/>
      </c>
      <c r="I27" s="20">
        <f>IF(A27&lt;=40,"P.A.A.L (0-6s)",IF(A27&lt;=75,"C.A.A.L (7-10s)",IF(A27&lt;=150,"P.A.L (11-20s)",IF(A27&lt;=350,"C.A.L (21-50s)",IF(A27&lt;=500,"P.A.E (1-2 min)","C.A.E (&gt;2 min)")))))</f>
        <v/>
      </c>
    </row>
    <row r="28" ht="15" customHeight="1" s="12">
      <c r="A28" s="19" t="n">
        <v>150</v>
      </c>
      <c r="B28" s="19">
        <f>IF($B$8="---",0,(A28/100)*$B$8)</f>
        <v/>
      </c>
      <c r="C28" s="19">
        <f>IF(B28=0,0,A28/B28)</f>
        <v/>
      </c>
      <c r="D28" s="19">
        <f>IF(C28=0,0,10/C28)</f>
        <v/>
      </c>
      <c r="E28" s="19">
        <f>IF(C28=0,0,50/C28)</f>
        <v/>
      </c>
      <c r="F28" s="19">
        <f>IF(C28=0,0,100/C28)</f>
        <v/>
      </c>
      <c r="G28" s="19">
        <f>IF(A28&lt;=40,"2.5-3 min",IF(A28&lt;=75,"3-5 min",IF(A28&lt;=150,"6-10 min",IF(A28&lt;=350,"5-7 min",IF(A28&lt;=500,"3-4 min","1.5-2.5 min")))))</f>
        <v/>
      </c>
      <c r="H28" s="19">
        <f>IF(A28&lt;=75,"6-8 min","8-10 min")</f>
        <v/>
      </c>
      <c r="I28" s="19">
        <f>IF(A28&lt;=40,"P.A.A.L (0-6s)",IF(A28&lt;=75,"C.A.A.L (7-10s)",IF(A28&lt;=150,"P.A.L (11-20s)",IF(A28&lt;=350,"C.A.L (21-50s)",IF(A28&lt;=500,"P.A.E (1-2 min)","C.A.E (&gt;2 min)")))))</f>
        <v/>
      </c>
    </row>
    <row r="29" ht="15" customHeight="1" s="12">
      <c r="A29" s="20" t="n">
        <v>160</v>
      </c>
      <c r="B29" s="20">
        <f>IF($B$8="---",0,(A29/100)*$B$8)</f>
        <v/>
      </c>
      <c r="C29" s="20">
        <f>IF(B29=0,0,A29/B29)</f>
        <v/>
      </c>
      <c r="D29" s="20">
        <f>IF(C29=0,0,10/C29)</f>
        <v/>
      </c>
      <c r="E29" s="20">
        <f>IF(C29=0,0,50/C29)</f>
        <v/>
      </c>
      <c r="F29" s="20">
        <f>IF(C29=0,0,100/C29)</f>
        <v/>
      </c>
      <c r="G29" s="20">
        <f>IF(A29&lt;=40,"2.5-3 min",IF(A29&lt;=75,"3-5 min",IF(A29&lt;=150,"6-10 min",IF(A29&lt;=350,"5-7 min",IF(A29&lt;=500,"3-4 min","1.5-2.5 min")))))</f>
        <v/>
      </c>
      <c r="H29" s="20">
        <f>IF(A29&lt;=75,"6-8 min","8-10 min")</f>
        <v/>
      </c>
      <c r="I29" s="20">
        <f>IF(A29&lt;=40,"P.A.A.L (0-6s)",IF(A29&lt;=75,"C.A.A.L (7-10s)",IF(A29&lt;=150,"P.A.L (11-20s)",IF(A29&lt;=350,"C.A.L (21-50s)",IF(A29&lt;=500,"P.A.E (1-2 min)","C.A.E (&gt;2 min)")))))</f>
        <v/>
      </c>
    </row>
    <row r="30" ht="15" customHeight="1" s="12">
      <c r="A30" s="19" t="n">
        <v>170</v>
      </c>
      <c r="B30" s="19">
        <f>IF($B$8="---",0,(A30/100)*$B$8)</f>
        <v/>
      </c>
      <c r="C30" s="19">
        <f>IF(B30=0,0,A30/B30)</f>
        <v/>
      </c>
      <c r="D30" s="19">
        <f>IF(C30=0,0,10/C30)</f>
        <v/>
      </c>
      <c r="E30" s="19">
        <f>IF(C30=0,0,50/C30)</f>
        <v/>
      </c>
      <c r="F30" s="19">
        <f>IF(C30=0,0,100/C30)</f>
        <v/>
      </c>
      <c r="G30" s="19">
        <f>IF(A30&lt;=40,"2.5-3 min",IF(A30&lt;=75,"3-5 min",IF(A30&lt;=150,"6-10 min",IF(A30&lt;=350,"5-7 min",IF(A30&lt;=500,"3-4 min","1.5-2.5 min")))))</f>
        <v/>
      </c>
      <c r="H30" s="19">
        <f>IF(A30&lt;=75,"6-8 min","8-10 min")</f>
        <v/>
      </c>
      <c r="I30" s="19">
        <f>IF(A30&lt;=40,"P.A.A.L (0-6s)",IF(A30&lt;=75,"C.A.A.L (7-10s)",IF(A30&lt;=150,"P.A.L (11-20s)",IF(A30&lt;=350,"C.A.L (21-50s)",IF(A30&lt;=500,"P.A.E (1-2 min)","C.A.E (&gt;2 min)")))))</f>
        <v/>
      </c>
    </row>
    <row r="31" ht="15" customHeight="1" s="12">
      <c r="A31" s="20" t="n">
        <v>180</v>
      </c>
      <c r="B31" s="20">
        <f>IF($B$8="---",0,(A31/100)*$B$8)</f>
        <v/>
      </c>
      <c r="C31" s="20">
        <f>IF(B31=0,0,A31/B31)</f>
        <v/>
      </c>
      <c r="D31" s="20">
        <f>IF(C31=0,0,10/C31)</f>
        <v/>
      </c>
      <c r="E31" s="20">
        <f>IF(C31=0,0,50/C31)</f>
        <v/>
      </c>
      <c r="F31" s="20">
        <f>IF(C31=0,0,100/C31)</f>
        <v/>
      </c>
      <c r="G31" s="20">
        <f>IF(A31&lt;=40,"2.5-3 min",IF(A31&lt;=75,"3-5 min",IF(A31&lt;=150,"6-10 min",IF(A31&lt;=350,"5-7 min",IF(A31&lt;=500,"3-4 min","1.5-2.5 min")))))</f>
        <v/>
      </c>
      <c r="H31" s="20">
        <f>IF(A31&lt;=75,"6-8 min","8-10 min")</f>
        <v/>
      </c>
      <c r="I31" s="20">
        <f>IF(A31&lt;=40,"P.A.A.L (0-6s)",IF(A31&lt;=75,"C.A.A.L (7-10s)",IF(A31&lt;=150,"P.A.L (11-20s)",IF(A31&lt;=350,"C.A.L (21-50s)",IF(A31&lt;=500,"P.A.E (1-2 min)","C.A.E (&gt;2 min)")))))</f>
        <v/>
      </c>
    </row>
    <row r="32" ht="15" customHeight="1" s="12">
      <c r="A32" s="19" t="n">
        <v>190</v>
      </c>
      <c r="B32" s="19">
        <f>IF($B$8="---",0,(A32/100)*$B$8)</f>
        <v/>
      </c>
      <c r="C32" s="19">
        <f>IF(B32=0,0,A32/B32)</f>
        <v/>
      </c>
      <c r="D32" s="19">
        <f>IF(C32=0,0,10/C32)</f>
        <v/>
      </c>
      <c r="E32" s="19">
        <f>IF(C32=0,0,50/C32)</f>
        <v/>
      </c>
      <c r="F32" s="19">
        <f>IF(C32=0,0,100/C32)</f>
        <v/>
      </c>
      <c r="G32" s="19">
        <f>IF(A32&lt;=40,"2.5-3 min",IF(A32&lt;=75,"3-5 min",IF(A32&lt;=150,"6-10 min",IF(A32&lt;=350,"5-7 min",IF(A32&lt;=500,"3-4 min","1.5-2.5 min")))))</f>
        <v/>
      </c>
      <c r="H32" s="19">
        <f>IF(A32&lt;=75,"6-8 min","8-10 min")</f>
        <v/>
      </c>
      <c r="I32" s="19">
        <f>IF(A32&lt;=40,"P.A.A.L (0-6s)",IF(A32&lt;=75,"C.A.A.L (7-10s)",IF(A32&lt;=150,"P.A.L (11-20s)",IF(A32&lt;=350,"C.A.L (21-50s)",IF(A32&lt;=500,"P.A.E (1-2 min)","C.A.E (&gt;2 min)")))))</f>
        <v/>
      </c>
    </row>
    <row r="33" ht="15" customHeight="1" s="12">
      <c r="A33" s="20" t="n">
        <v>200</v>
      </c>
      <c r="B33" s="20">
        <f>IF($B$8="---",0,(A33/100)*$B$8)</f>
        <v/>
      </c>
      <c r="C33" s="20">
        <f>IF(B33=0,0,A33/B33)</f>
        <v/>
      </c>
      <c r="D33" s="20">
        <f>IF(C33=0,0,10/C33)</f>
        <v/>
      </c>
      <c r="E33" s="20">
        <f>IF(C33=0,0,50/C33)</f>
        <v/>
      </c>
      <c r="F33" s="20">
        <f>IF(C33=0,0,100/C33)</f>
        <v/>
      </c>
      <c r="G33" s="20">
        <f>IF(A33&lt;=40,"2.5-3 min",IF(A33&lt;=75,"3-5 min",IF(A33&lt;=150,"6-10 min",IF(A33&lt;=350,"5-7 min",IF(A33&lt;=500,"3-4 min","1.5-2.5 min")))))</f>
        <v/>
      </c>
      <c r="H33" s="20">
        <f>IF(A33&lt;=75,"6-8 min","8-10 min")</f>
        <v/>
      </c>
      <c r="I33" s="20">
        <f>IF(A33&lt;=40,"P.A.A.L (0-6s)",IF(A33&lt;=75,"C.A.A.L (7-10s)",IF(A33&lt;=150,"P.A.L (11-20s)",IF(A33&lt;=350,"C.A.L (21-50s)",IF(A33&lt;=500,"P.A.E (1-2 min)","C.A.E (&gt;2 min)")))))</f>
        <v/>
      </c>
    </row>
    <row r="34" ht="15" customHeight="1" s="12">
      <c r="A34" s="19" t="n">
        <v>250</v>
      </c>
      <c r="B34" s="19">
        <f>IF($B$8="---",0,(A34/100)*$B$8)</f>
        <v/>
      </c>
      <c r="C34" s="19">
        <f>IF(B34=0,0,A34/B34)</f>
        <v/>
      </c>
      <c r="D34" s="19">
        <f>IF(C34=0,0,10/C34)</f>
        <v/>
      </c>
      <c r="E34" s="19">
        <f>IF(C34=0,0,50/C34)</f>
        <v/>
      </c>
      <c r="F34" s="19">
        <f>IF(C34=0,0,100/C34)</f>
        <v/>
      </c>
      <c r="G34" s="19">
        <f>IF(A34&lt;=40,"2.5-3 min",IF(A34&lt;=75,"3-5 min",IF(A34&lt;=150,"6-10 min",IF(A34&lt;=350,"5-7 min",IF(A34&lt;=500,"3-4 min","1.5-2.5 min")))))</f>
        <v/>
      </c>
      <c r="H34" s="19">
        <f>IF(A34&lt;=75,"6-8 min","8-10 min")</f>
        <v/>
      </c>
      <c r="I34" s="19">
        <f>IF(A34&lt;=40,"P.A.A.L (0-6s)",IF(A34&lt;=75,"C.A.A.L (7-10s)",IF(A34&lt;=150,"P.A.L (11-20s)",IF(A34&lt;=350,"C.A.L (21-50s)",IF(A34&lt;=500,"P.A.E (1-2 min)","C.A.E (&gt;2 min)")))))</f>
        <v/>
      </c>
    </row>
    <row r="35" ht="15" customHeight="1" s="12">
      <c r="A35" s="20" t="n">
        <v>300</v>
      </c>
      <c r="B35" s="20">
        <f>IF($B$8="---",0,(A35/100)*$B$8)</f>
        <v/>
      </c>
      <c r="C35" s="20">
        <f>IF(B35=0,0,A35/B35)</f>
        <v/>
      </c>
      <c r="D35" s="20">
        <f>IF(C35=0,0,10/C35)</f>
        <v/>
      </c>
      <c r="E35" s="20">
        <f>IF(C35=0,0,50/C35)</f>
        <v/>
      </c>
      <c r="F35" s="20">
        <f>IF(C35=0,0,100/C35)</f>
        <v/>
      </c>
      <c r="G35" s="20">
        <f>IF(A35&lt;=40,"2.5-3 min",IF(A35&lt;=75,"3-5 min",IF(A35&lt;=150,"6-10 min",IF(A35&lt;=350,"5-7 min",IF(A35&lt;=500,"3-4 min","1.5-2.5 min")))))</f>
        <v/>
      </c>
      <c r="H35" s="20">
        <f>IF(A35&lt;=75,"6-8 min","8-10 min")</f>
        <v/>
      </c>
      <c r="I35" s="20">
        <f>IF(A35&lt;=40,"P.A.A.L (0-6s)",IF(A35&lt;=75,"C.A.A.L (7-10s)",IF(A35&lt;=150,"P.A.L (11-20s)",IF(A35&lt;=350,"C.A.L (21-50s)",IF(A35&lt;=500,"P.A.E (1-2 min)","C.A.E (&gt;2 min)")))))</f>
        <v/>
      </c>
    </row>
    <row r="36" ht="15" customHeight="1" s="12">
      <c r="A36" s="19" t="n">
        <v>350</v>
      </c>
      <c r="B36" s="19">
        <f>IF($B$8="---",0,(A36/100)*$B$8)</f>
        <v/>
      </c>
      <c r="C36" s="19">
        <f>IF(B36=0,0,A36/B36)</f>
        <v/>
      </c>
      <c r="D36" s="19">
        <f>IF(C36=0,0,10/C36)</f>
        <v/>
      </c>
      <c r="E36" s="19">
        <f>IF(C36=0,0,50/C36)</f>
        <v/>
      </c>
      <c r="F36" s="19">
        <f>IF(C36=0,0,100/C36)</f>
        <v/>
      </c>
      <c r="G36" s="19">
        <f>IF(A36&lt;=40,"2.5-3 min",IF(A36&lt;=75,"3-5 min",IF(A36&lt;=150,"6-10 min",IF(A36&lt;=350,"5-7 min",IF(A36&lt;=500,"3-4 min","1.5-2.5 min")))))</f>
        <v/>
      </c>
      <c r="H36" s="19">
        <f>IF(A36&lt;=75,"6-8 min","8-10 min")</f>
        <v/>
      </c>
      <c r="I36" s="19">
        <f>IF(A36&lt;=40,"P.A.A.L (0-6s)",IF(A36&lt;=75,"C.A.A.L (7-10s)",IF(A36&lt;=150,"P.A.L (11-20s)",IF(A36&lt;=350,"C.A.L (21-50s)",IF(A36&lt;=500,"P.A.E (1-2 min)","C.A.E (&gt;2 min)")))))</f>
        <v/>
      </c>
    </row>
    <row r="37" ht="15" customHeight="1" s="12">
      <c r="A37" s="20" t="n">
        <v>400</v>
      </c>
      <c r="B37" s="20">
        <f>IF($B$8="---",0,(A37/100)*$B$8)</f>
        <v/>
      </c>
      <c r="C37" s="20">
        <f>IF(B37=0,0,A37/B37)</f>
        <v/>
      </c>
      <c r="D37" s="20">
        <f>IF(C37=0,0,10/C37)</f>
        <v/>
      </c>
      <c r="E37" s="20">
        <f>IF(C37=0,0,50/C37)</f>
        <v/>
      </c>
      <c r="F37" s="20">
        <f>IF(C37=0,0,100/C37)</f>
        <v/>
      </c>
      <c r="G37" s="20">
        <f>IF(A37&lt;=40,"2.5-3 min",IF(A37&lt;=75,"3-5 min",IF(A37&lt;=150,"6-10 min",IF(A37&lt;=350,"5-7 min",IF(A37&lt;=500,"3-4 min","1.5-2.5 min")))))</f>
        <v/>
      </c>
      <c r="H37" s="20">
        <f>IF(A37&lt;=75,"6-8 min","8-10 min")</f>
        <v/>
      </c>
      <c r="I37" s="20">
        <f>IF(A37&lt;=40,"P.A.A.L (0-6s)",IF(A37&lt;=75,"C.A.A.L (7-10s)",IF(A37&lt;=150,"P.A.L (11-20s)",IF(A37&lt;=350,"C.A.L (21-50s)",IF(A37&lt;=500,"P.A.E (1-2 min)","C.A.E (&gt;2 min)")))))</f>
        <v/>
      </c>
    </row>
    <row r="38" ht="15" customHeight="1" s="12">
      <c r="A38" s="19" t="n">
        <v>450</v>
      </c>
      <c r="B38" s="19">
        <f>IF($B$8="---",0,(A38/100)*$B$8)</f>
        <v/>
      </c>
      <c r="C38" s="19">
        <f>IF(B38=0,0,A38/B38)</f>
        <v/>
      </c>
      <c r="D38" s="19">
        <f>IF(C38=0,0,10/C38)</f>
        <v/>
      </c>
      <c r="E38" s="19">
        <f>IF(C38=0,0,50/C38)</f>
        <v/>
      </c>
      <c r="F38" s="19">
        <f>IF(C38=0,0,100/C38)</f>
        <v/>
      </c>
      <c r="G38" s="19">
        <f>IF(A38&lt;=40,"2.5-3 min",IF(A38&lt;=75,"3-5 min",IF(A38&lt;=150,"6-10 min",IF(A38&lt;=350,"5-7 min",IF(A38&lt;=500,"3-4 min","1.5-2.5 min")))))</f>
        <v/>
      </c>
      <c r="H38" s="19">
        <f>IF(A38&lt;=75,"6-8 min","8-10 min")</f>
        <v/>
      </c>
      <c r="I38" s="19">
        <f>IF(A38&lt;=40,"P.A.A.L (0-6s)",IF(A38&lt;=75,"C.A.A.L (7-10s)",IF(A38&lt;=150,"P.A.L (11-20s)",IF(A38&lt;=350,"C.A.L (21-50s)",IF(A38&lt;=500,"P.A.E (1-2 min)","C.A.E (&gt;2 min)")))))</f>
        <v/>
      </c>
    </row>
    <row r="39" ht="15" customHeight="1" s="12">
      <c r="A39" s="20" t="n">
        <v>500</v>
      </c>
      <c r="B39" s="20">
        <f>IF($B$8="---",0,(A39/100)*$B$8)</f>
        <v/>
      </c>
      <c r="C39" s="20">
        <f>IF(B39=0,0,A39/B39)</f>
        <v/>
      </c>
      <c r="D39" s="20">
        <f>IF(C39=0,0,10/C39)</f>
        <v/>
      </c>
      <c r="E39" s="20">
        <f>IF(C39=0,0,50/C39)</f>
        <v/>
      </c>
      <c r="F39" s="20">
        <f>IF(C39=0,0,100/C39)</f>
        <v/>
      </c>
      <c r="G39" s="20">
        <f>IF(A39&lt;=40,"2.5-3 min",IF(A39&lt;=75,"3-5 min",IF(A39&lt;=150,"6-10 min",IF(A39&lt;=350,"5-7 min",IF(A39&lt;=500,"3-4 min","1.5-2.5 min")))))</f>
        <v/>
      </c>
      <c r="H39" s="20">
        <f>IF(A39&lt;=75,"6-8 min","8-10 min")</f>
        <v/>
      </c>
      <c r="I39" s="20">
        <f>IF(A39&lt;=40,"P.A.A.L (0-6s)",IF(A39&lt;=75,"C.A.A.L (7-10s)",IF(A39&lt;=150,"P.A.L (11-20s)",IF(A39&lt;=350,"C.A.L (21-50s)",IF(A39&lt;=500,"P.A.E (1-2 min)","C.A.E (&gt;2 min)")))))</f>
        <v/>
      </c>
    </row>
    <row r="40" ht="15" customHeight="1" s="12">
      <c r="A40" s="19" t="n">
        <v>600</v>
      </c>
      <c r="B40" s="19">
        <f>IF($B$8="---",0,(A40/100)*$B$8)</f>
        <v/>
      </c>
      <c r="C40" s="19">
        <f>IF(B40=0,0,A40/B40)</f>
        <v/>
      </c>
      <c r="D40" s="19">
        <f>IF(C40=0,0,10/C40)</f>
        <v/>
      </c>
      <c r="E40" s="19">
        <f>IF(C40=0,0,50/C40)</f>
        <v/>
      </c>
      <c r="F40" s="19">
        <f>IF(C40=0,0,100/C40)</f>
        <v/>
      </c>
      <c r="G40" s="19">
        <f>IF(A40&lt;=40,"2.5-3 min",IF(A40&lt;=75,"3-5 min",IF(A40&lt;=150,"6-10 min",IF(A40&lt;=350,"5-7 min",IF(A40&lt;=500,"3-4 min","1.5-2.5 min")))))</f>
        <v/>
      </c>
      <c r="H40" s="19">
        <f>IF(A40&lt;=75,"6-8 min","8-10 min")</f>
        <v/>
      </c>
      <c r="I40" s="19">
        <f>IF(A40&lt;=40,"P.A.A.L (0-6s)",IF(A40&lt;=75,"C.A.A.L (7-10s)",IF(A40&lt;=150,"P.A.L (11-20s)",IF(A40&lt;=350,"C.A.L (21-50s)",IF(A40&lt;=500,"P.A.E (1-2 min)","C.A.E (&gt;2 min)")))))</f>
        <v/>
      </c>
    </row>
    <row r="41" ht="15" customHeight="1" s="12">
      <c r="A41" s="20" t="n">
        <v>700</v>
      </c>
      <c r="B41" s="20">
        <f>IF($B$8="---",0,(A41/100)*$B$8)</f>
        <v/>
      </c>
      <c r="C41" s="20">
        <f>IF(B41=0,0,A41/B41)</f>
        <v/>
      </c>
      <c r="D41" s="20">
        <f>IF(C41=0,0,10/C41)</f>
        <v/>
      </c>
      <c r="E41" s="20">
        <f>IF(C41=0,0,50/C41)</f>
        <v/>
      </c>
      <c r="F41" s="20">
        <f>IF(C41=0,0,100/C41)</f>
        <v/>
      </c>
      <c r="G41" s="20">
        <f>IF(A41&lt;=40,"2.5-3 min",IF(A41&lt;=75,"3-5 min",IF(A41&lt;=150,"6-10 min",IF(A41&lt;=350,"5-7 min",IF(A41&lt;=500,"3-4 min","1.5-2.5 min")))))</f>
        <v/>
      </c>
      <c r="H41" s="20">
        <f>IF(A41&lt;=75,"6-8 min","8-10 min")</f>
        <v/>
      </c>
      <c r="I41" s="20">
        <f>IF(A41&lt;=40,"P.A.A.L (0-6s)",IF(A41&lt;=75,"C.A.A.L (7-10s)",IF(A41&lt;=150,"P.A.L (11-20s)",IF(A41&lt;=350,"C.A.L (21-50s)",IF(A41&lt;=500,"P.A.E (1-2 min)","C.A.E (&gt;2 min)")))))</f>
        <v/>
      </c>
    </row>
    <row r="42" ht="15" customHeight="1" s="12">
      <c r="A42" s="19" t="n">
        <v>800</v>
      </c>
      <c r="B42" s="19">
        <f>IF($B$8="---",0,(A42/100)*$B$8)</f>
        <v/>
      </c>
      <c r="C42" s="19">
        <f>IF(B42=0,0,A42/B42)</f>
        <v/>
      </c>
      <c r="D42" s="19">
        <f>IF(C42=0,0,10/C42)</f>
        <v/>
      </c>
      <c r="E42" s="19">
        <f>IF(C42=0,0,50/C42)</f>
        <v/>
      </c>
      <c r="F42" s="19">
        <f>IF(C42=0,0,100/C42)</f>
        <v/>
      </c>
      <c r="G42" s="19">
        <f>IF(A42&lt;=40,"2.5-3 min",IF(A42&lt;=75,"3-5 min",IF(A42&lt;=150,"6-10 min",IF(A42&lt;=350,"5-7 min",IF(A42&lt;=500,"3-4 min","1.5-2.5 min")))))</f>
        <v/>
      </c>
      <c r="H42" s="19">
        <f>IF(A42&lt;=75,"6-8 min","8-10 min")</f>
        <v/>
      </c>
      <c r="I42" s="19">
        <f>IF(A42&lt;=40,"P.A.A.L (0-6s)",IF(A42&lt;=75,"C.A.A.L (7-10s)",IF(A42&lt;=150,"P.A.L (11-20s)",IF(A42&lt;=350,"C.A.L (21-50s)",IF(A42&lt;=500,"P.A.E (1-2 min)","C.A.E (&gt;2 min)")))))</f>
        <v/>
      </c>
    </row>
    <row r="43" ht="15" customHeight="1" s="12">
      <c r="A43" s="20" t="n">
        <v>900</v>
      </c>
      <c r="B43" s="20">
        <f>IF($B$8="---",0,(A43/100)*$B$8)</f>
        <v/>
      </c>
      <c r="C43" s="20">
        <f>IF(B43=0,0,A43/B43)</f>
        <v/>
      </c>
      <c r="D43" s="20">
        <f>IF(C43=0,0,10/C43)</f>
        <v/>
      </c>
      <c r="E43" s="20">
        <f>IF(C43=0,0,50/C43)</f>
        <v/>
      </c>
      <c r="F43" s="20">
        <f>IF(C43=0,0,100/C43)</f>
        <v/>
      </c>
      <c r="G43" s="20">
        <f>IF(A43&lt;=40,"2.5-3 min",IF(A43&lt;=75,"3-5 min",IF(A43&lt;=150,"6-10 min",IF(A43&lt;=350,"5-7 min",IF(A43&lt;=500,"3-4 min","1.5-2.5 min")))))</f>
        <v/>
      </c>
      <c r="H43" s="20">
        <f>IF(A43&lt;=75,"6-8 min","8-10 min")</f>
        <v/>
      </c>
      <c r="I43" s="20">
        <f>IF(A43&lt;=40,"P.A.A.L (0-6s)",IF(A43&lt;=75,"C.A.A.L (7-10s)",IF(A43&lt;=150,"P.A.L (11-20s)",IF(A43&lt;=350,"C.A.L (21-50s)",IF(A43&lt;=500,"P.A.E (1-2 min)","C.A.E (&gt;2 min)")))))</f>
        <v/>
      </c>
    </row>
    <row r="44" ht="15" customHeight="1" s="12">
      <c r="A44" s="19" t="n">
        <v>1000</v>
      </c>
      <c r="B44" s="19">
        <f>IF($B$8="---",0,(A44/100)*$B$8)</f>
        <v/>
      </c>
      <c r="C44" s="19">
        <f>IF(B44=0,0,A44/B44)</f>
        <v/>
      </c>
      <c r="D44" s="19">
        <f>IF(C44=0,0,10/C44)</f>
        <v/>
      </c>
      <c r="E44" s="19">
        <f>IF(C44=0,0,50/C44)</f>
        <v/>
      </c>
      <c r="F44" s="19">
        <f>IF(C44=0,0,100/C44)</f>
        <v/>
      </c>
      <c r="G44" s="19">
        <f>IF(A44&lt;=40,"2.5-3 min",IF(A44&lt;=75,"3-5 min",IF(A44&lt;=150,"6-10 min",IF(A44&lt;=350,"5-7 min",IF(A44&lt;=500,"3-4 min","1.5-2.5 min")))))</f>
        <v/>
      </c>
      <c r="H44" s="19">
        <f>IF(A44&lt;=75,"6-8 min","8-10 min")</f>
        <v/>
      </c>
      <c r="I44" s="19">
        <f>IF(A44&lt;=40,"P.A.A.L (0-6s)",IF(A44&lt;=75,"C.A.A.L (7-10s)",IF(A44&lt;=150,"P.A.L (11-20s)",IF(A44&lt;=350,"C.A.L (21-50s)",IF(A44&lt;=500,"P.A.E (1-2 min)","C.A.E (&gt;2 min)")))))</f>
        <v/>
      </c>
    </row>
    <row r="45" ht="15" customHeight="1" s="12">
      <c r="A45" s="20" t="n">
        <v>1100</v>
      </c>
      <c r="B45" s="20">
        <f>IF($B$8="---",0,(A45/100)*$B$8)</f>
        <v/>
      </c>
      <c r="C45" s="20">
        <f>IF(B45=0,0,A45/B45)</f>
        <v/>
      </c>
      <c r="D45" s="20">
        <f>IF(C45=0,0,10/C45)</f>
        <v/>
      </c>
      <c r="E45" s="20">
        <f>IF(C45=0,0,50/C45)</f>
        <v/>
      </c>
      <c r="F45" s="20">
        <f>IF(C45=0,0,100/C45)</f>
        <v/>
      </c>
      <c r="G45" s="20">
        <f>IF(A45&lt;=40,"2.5-3 min",IF(A45&lt;=75,"3-5 min",IF(A45&lt;=150,"6-10 min",IF(A45&lt;=350,"5-7 min",IF(A45&lt;=500,"3-4 min","1.5-2.5 min")))))</f>
        <v/>
      </c>
      <c r="H45" s="20">
        <f>IF(A45&lt;=75,"6-8 min","8-10 min")</f>
        <v/>
      </c>
      <c r="I45" s="20">
        <f>IF(A45&lt;=40,"P.A.A.L (0-6s)",IF(A45&lt;=75,"C.A.A.L (7-10s)",IF(A45&lt;=150,"P.A.L (11-20s)",IF(A45&lt;=350,"C.A.L (21-50s)",IF(A45&lt;=500,"P.A.E (1-2 min)","C.A.E (&gt;2 min)")))))</f>
        <v/>
      </c>
    </row>
    <row r="46" ht="15" customHeight="1" s="12">
      <c r="A46" s="19" t="n">
        <v>1200</v>
      </c>
      <c r="B46" s="19">
        <f>IF($B$8="---",0,(A46/100)*$B$8)</f>
        <v/>
      </c>
      <c r="C46" s="19">
        <f>IF(B46=0,0,A46/B46)</f>
        <v/>
      </c>
      <c r="D46" s="19">
        <f>IF(C46=0,0,10/C46)</f>
        <v/>
      </c>
      <c r="E46" s="19">
        <f>IF(C46=0,0,50/C46)</f>
        <v/>
      </c>
      <c r="F46" s="19">
        <f>IF(C46=0,0,100/C46)</f>
        <v/>
      </c>
      <c r="G46" s="19">
        <f>IF(A46&lt;=40,"2.5-3 min",IF(A46&lt;=75,"3-5 min",IF(A46&lt;=150,"6-10 min",IF(A46&lt;=350,"5-7 min",IF(A46&lt;=500,"3-4 min","1.5-2.5 min")))))</f>
        <v/>
      </c>
      <c r="H46" s="19">
        <f>IF(A46&lt;=75,"6-8 min","8-10 min")</f>
        <v/>
      </c>
      <c r="I46" s="19">
        <f>IF(A46&lt;=40,"P.A.A.L (0-6s)",IF(A46&lt;=75,"C.A.A.L (7-10s)",IF(A46&lt;=150,"P.A.L (11-20s)",IF(A46&lt;=350,"C.A.L (21-50s)",IF(A46&lt;=500,"P.A.E (1-2 min)","C.A.E (&gt;2 min)")))))</f>
        <v/>
      </c>
    </row>
    <row r="47" ht="15" customHeight="1" s="12">
      <c r="A47" s="20" t="n">
        <v>1300</v>
      </c>
      <c r="B47" s="20">
        <f>IF($B$8="---",0,(A47/100)*$B$8)</f>
        <v/>
      </c>
      <c r="C47" s="20">
        <f>IF(B47=0,0,A47/B47)</f>
        <v/>
      </c>
      <c r="D47" s="20">
        <f>IF(C47=0,0,10/C47)</f>
        <v/>
      </c>
      <c r="E47" s="20">
        <f>IF(C47=0,0,50/C47)</f>
        <v/>
      </c>
      <c r="F47" s="20">
        <f>IF(C47=0,0,100/C47)</f>
        <v/>
      </c>
      <c r="G47" s="20">
        <f>IF(A47&lt;=40,"2.5-3 min",IF(A47&lt;=75,"3-5 min",IF(A47&lt;=150,"6-10 min",IF(A47&lt;=350,"5-7 min",IF(A47&lt;=500,"3-4 min","1.5-2.5 min")))))</f>
        <v/>
      </c>
      <c r="H47" s="20">
        <f>IF(A47&lt;=75,"6-8 min","8-10 min")</f>
        <v/>
      </c>
      <c r="I47" s="20">
        <f>IF(A47&lt;=40,"P.A.A.L (0-6s)",IF(A47&lt;=75,"C.A.A.L (7-10s)",IF(A47&lt;=150,"P.A.L (11-20s)",IF(A47&lt;=350,"C.A.L (21-50s)",IF(A47&lt;=500,"P.A.E (1-2 min)","C.A.E (&gt;2 min)")))))</f>
        <v/>
      </c>
    </row>
    <row r="48" ht="15" customHeight="1" s="12">
      <c r="A48" s="19" t="n">
        <v>1400</v>
      </c>
      <c r="B48" s="19">
        <f>IF($B$8="---",0,(A48/100)*$B$8)</f>
        <v/>
      </c>
      <c r="C48" s="19">
        <f>IF(B48=0,0,A48/B48)</f>
        <v/>
      </c>
      <c r="D48" s="19">
        <f>IF(C48=0,0,10/C48)</f>
        <v/>
      </c>
      <c r="E48" s="19">
        <f>IF(C48=0,0,50/C48)</f>
        <v/>
      </c>
      <c r="F48" s="19">
        <f>IF(C48=0,0,100/C48)</f>
        <v/>
      </c>
      <c r="G48" s="19">
        <f>IF(A48&lt;=40,"2.5-3 min",IF(A48&lt;=75,"3-5 min",IF(A48&lt;=150,"6-10 min",IF(A48&lt;=350,"5-7 min",IF(A48&lt;=500,"3-4 min","1.5-2.5 min")))))</f>
        <v/>
      </c>
      <c r="H48" s="19">
        <f>IF(A48&lt;=75,"6-8 min","8-10 min")</f>
        <v/>
      </c>
      <c r="I48" s="19">
        <f>IF(A48&lt;=40,"P.A.A.L (0-6s)",IF(A48&lt;=75,"C.A.A.L (7-10s)",IF(A48&lt;=150,"P.A.L (11-20s)",IF(A48&lt;=350,"C.A.L (21-50s)",IF(A48&lt;=500,"P.A.E (1-2 min)","C.A.E (&gt;2 min)")))))</f>
        <v/>
      </c>
    </row>
    <row r="49" ht="15" customHeight="1" s="12">
      <c r="A49" s="20" t="n">
        <v>1500</v>
      </c>
      <c r="B49" s="20">
        <f>IF($B$8="---",0,(A49/100)*$B$8)</f>
        <v/>
      </c>
      <c r="C49" s="20">
        <f>IF(B49=0,0,A49/B49)</f>
        <v/>
      </c>
      <c r="D49" s="20">
        <f>IF(C49=0,0,10/C49)</f>
        <v/>
      </c>
      <c r="E49" s="20">
        <f>IF(C49=0,0,50/C49)</f>
        <v/>
      </c>
      <c r="F49" s="20">
        <f>IF(C49=0,0,100/C49)</f>
        <v/>
      </c>
      <c r="G49" s="20">
        <f>IF(A49&lt;=40,"2.5-3 min",IF(A49&lt;=75,"3-5 min",IF(A49&lt;=150,"6-10 min",IF(A49&lt;=350,"5-7 min",IF(A49&lt;=500,"3-4 min","1.5-2.5 min")))))</f>
        <v/>
      </c>
      <c r="H49" s="20">
        <f>IF(A49&lt;=75,"6-8 min","8-10 min")</f>
        <v/>
      </c>
      <c r="I49" s="20">
        <f>IF(A49&lt;=40,"P.A.A.L (0-6s)",IF(A49&lt;=75,"C.A.A.L (7-10s)",IF(A49&lt;=150,"P.A.L (11-20s)",IF(A49&lt;=350,"C.A.L (21-50s)",IF(A49&lt;=500,"P.A.E (1-2 min)","C.A.E (&gt;2 min)")))))</f>
        <v/>
      </c>
    </row>
    <row r="50" ht="15" customHeight="1" s="12">
      <c r="A50" s="19" t="n">
        <v>1700</v>
      </c>
      <c r="B50" s="19">
        <f>IF($B$8="---",0,(A50/100)*$B$8)</f>
        <v/>
      </c>
      <c r="C50" s="19">
        <f>IF(B50=0,0,A50/B50)</f>
        <v/>
      </c>
      <c r="D50" s="19">
        <f>IF(C50=0,0,10/C50)</f>
        <v/>
      </c>
      <c r="E50" s="19">
        <f>IF(C50=0,0,50/C50)</f>
        <v/>
      </c>
      <c r="F50" s="19">
        <f>IF(C50=0,0,100/C50)</f>
        <v/>
      </c>
      <c r="G50" s="19">
        <f>IF(A50&lt;=40,"2.5-3 min",IF(A50&lt;=75,"3-5 min",IF(A50&lt;=150,"6-10 min",IF(A50&lt;=350,"5-7 min",IF(A50&lt;=500,"3-4 min","1.5-2.5 min")))))</f>
        <v/>
      </c>
      <c r="H50" s="19">
        <f>IF(A50&lt;=75,"6-8 min","8-10 min")</f>
        <v/>
      </c>
      <c r="I50" s="19">
        <f>IF(A50&lt;=40,"P.A.A.L (0-6s)",IF(A50&lt;=75,"C.A.A.L (7-10s)",IF(A50&lt;=150,"P.A.L (11-20s)",IF(A50&lt;=350,"C.A.L (21-50s)",IF(A50&lt;=500,"P.A.E (1-2 min)","C.A.E (&gt;2 min)")))))</f>
        <v/>
      </c>
    </row>
    <row r="51" ht="15" customHeight="1" s="12">
      <c r="A51" s="20" t="n">
        <v>1900</v>
      </c>
      <c r="B51" s="20">
        <f>IF($B$8="---",0,(A51/100)*$B$8)</f>
        <v/>
      </c>
      <c r="C51" s="20">
        <f>IF(B51=0,0,A51/B51)</f>
        <v/>
      </c>
      <c r="D51" s="20">
        <f>IF(C51=0,0,10/C51)</f>
        <v/>
      </c>
      <c r="E51" s="20">
        <f>IF(C51=0,0,50/C51)</f>
        <v/>
      </c>
      <c r="F51" s="20">
        <f>IF(C51=0,0,100/C51)</f>
        <v/>
      </c>
      <c r="G51" s="20">
        <f>IF(A51&lt;=40,"2.5-3 min",IF(A51&lt;=75,"3-5 min",IF(A51&lt;=150,"6-10 min",IF(A51&lt;=350,"5-7 min",IF(A51&lt;=500,"3-4 min","1.5-2.5 min")))))</f>
        <v/>
      </c>
      <c r="H51" s="20">
        <f>IF(A51&lt;=75,"6-8 min","8-10 min")</f>
        <v/>
      </c>
      <c r="I51" s="20">
        <f>IF(A51&lt;=40,"P.A.A.L (0-6s)",IF(A51&lt;=75,"C.A.A.L (7-10s)",IF(A51&lt;=150,"P.A.L (11-20s)",IF(A51&lt;=350,"C.A.L (21-50s)",IF(A51&lt;=500,"P.A.E (1-2 min)","C.A.E (&gt;2 min)")))))</f>
        <v/>
      </c>
    </row>
    <row r="52" ht="15" customHeight="1" s="12">
      <c r="A52" s="19" t="n">
        <v>2100</v>
      </c>
      <c r="B52" s="19">
        <f>IF($B$8="---",0,(A52/100)*$B$8)</f>
        <v/>
      </c>
      <c r="C52" s="19">
        <f>IF(B52=0,0,A52/B52)</f>
        <v/>
      </c>
      <c r="D52" s="19">
        <f>IF(C52=0,0,10/C52)</f>
        <v/>
      </c>
      <c r="E52" s="19">
        <f>IF(C52=0,0,50/C52)</f>
        <v/>
      </c>
      <c r="F52" s="19">
        <f>IF(C52=0,0,100/C52)</f>
        <v/>
      </c>
      <c r="G52" s="19">
        <f>IF(A52&lt;=40,"2.5-3 min",IF(A52&lt;=75,"3-5 min",IF(A52&lt;=150,"6-10 min",IF(A52&lt;=350,"5-7 min",IF(A52&lt;=500,"3-4 min","1.5-2.5 min")))))</f>
        <v/>
      </c>
      <c r="H52" s="19">
        <f>IF(A52&lt;=75,"6-8 min","8-10 min")</f>
        <v/>
      </c>
      <c r="I52" s="19">
        <f>IF(A52&lt;=40,"P.A.A.L (0-6s)",IF(A52&lt;=75,"C.A.A.L (7-10s)",IF(A52&lt;=150,"P.A.L (11-20s)",IF(A52&lt;=350,"C.A.L (21-50s)",IF(A52&lt;=500,"P.A.E (1-2 min)","C.A.E (&gt;2 min)")))))</f>
        <v/>
      </c>
    </row>
    <row r="53" ht="15" customHeight="1" s="12">
      <c r="A53" s="20" t="n">
        <v>2300</v>
      </c>
      <c r="B53" s="20">
        <f>IF($B$8="---",0,(A53/100)*$B$8)</f>
        <v/>
      </c>
      <c r="C53" s="20">
        <f>IF(B53=0,0,A53/B53)</f>
        <v/>
      </c>
      <c r="D53" s="20">
        <f>IF(C53=0,0,10/C53)</f>
        <v/>
      </c>
      <c r="E53" s="20">
        <f>IF(C53=0,0,50/C53)</f>
        <v/>
      </c>
      <c r="F53" s="20">
        <f>IF(C53=0,0,100/C53)</f>
        <v/>
      </c>
      <c r="G53" s="20">
        <f>IF(A53&lt;=40,"2.5-3 min",IF(A53&lt;=75,"3-5 min",IF(A53&lt;=150,"6-10 min",IF(A53&lt;=350,"5-7 min",IF(A53&lt;=500,"3-4 min","1.5-2.5 min")))))</f>
        <v/>
      </c>
      <c r="H53" s="20">
        <f>IF(A53&lt;=75,"6-8 min","8-10 min")</f>
        <v/>
      </c>
      <c r="I53" s="20">
        <f>IF(A53&lt;=40,"P.A.A.L (0-6s)",IF(A53&lt;=75,"C.A.A.L (7-10s)",IF(A53&lt;=150,"P.A.L (11-20s)",IF(A53&lt;=350,"C.A.L (21-50s)",IF(A53&lt;=500,"P.A.E (1-2 min)","C.A.E (&gt;2 min)")))))</f>
        <v/>
      </c>
    </row>
    <row r="54" ht="15" customHeight="1" s="12">
      <c r="A54" s="19" t="n">
        <v>2500</v>
      </c>
      <c r="B54" s="19">
        <f>IF($B$8="---",0,(A54/100)*$B$8)</f>
        <v/>
      </c>
      <c r="C54" s="19">
        <f>IF(B54=0,0,A54/B54)</f>
        <v/>
      </c>
      <c r="D54" s="19">
        <f>IF(C54=0,0,10/C54)</f>
        <v/>
      </c>
      <c r="E54" s="19">
        <f>IF(C54=0,0,50/C54)</f>
        <v/>
      </c>
      <c r="F54" s="19">
        <f>IF(C54=0,0,100/C54)</f>
        <v/>
      </c>
      <c r="G54" s="19">
        <f>IF(A54&lt;=40,"2.5-3 min",IF(A54&lt;=75,"3-5 min",IF(A54&lt;=150,"6-10 min",IF(A54&lt;=350,"5-7 min",IF(A54&lt;=500,"3-4 min","1.5-2.5 min")))))</f>
        <v/>
      </c>
      <c r="H54" s="19">
        <f>IF(A54&lt;=75,"6-8 min","8-10 min")</f>
        <v/>
      </c>
      <c r="I54" s="19">
        <f>IF(A54&lt;=40,"P.A.A.L (0-6s)",IF(A54&lt;=75,"C.A.A.L (7-10s)",IF(A54&lt;=150,"P.A.L (11-20s)",IF(A54&lt;=350,"C.A.L (21-50s)",IF(A54&lt;=500,"P.A.E (1-2 min)","C.A.E (&gt;2 min)")))))</f>
        <v/>
      </c>
    </row>
    <row r="55" ht="15" customHeight="1" s="12">
      <c r="A55" s="20" t="n">
        <v>2700</v>
      </c>
      <c r="B55" s="20">
        <f>IF($B$8="---",0,(A55/100)*$B$8)</f>
        <v/>
      </c>
      <c r="C55" s="20">
        <f>IF(B55=0,0,A55/B55)</f>
        <v/>
      </c>
      <c r="D55" s="20">
        <f>IF(C55=0,0,10/C55)</f>
        <v/>
      </c>
      <c r="E55" s="20">
        <f>IF(C55=0,0,50/C55)</f>
        <v/>
      </c>
      <c r="F55" s="20">
        <f>IF(C55=0,0,100/C55)</f>
        <v/>
      </c>
      <c r="G55" s="20">
        <f>IF(A55&lt;=40,"2.5-3 min",IF(A55&lt;=75,"3-5 min",IF(A55&lt;=150,"6-10 min",IF(A55&lt;=350,"5-7 min",IF(A55&lt;=500,"3-4 min","1.5-2.5 min")))))</f>
        <v/>
      </c>
      <c r="H55" s="20">
        <f>IF(A55&lt;=75,"6-8 min","8-10 min")</f>
        <v/>
      </c>
      <c r="I55" s="20">
        <f>IF(A55&lt;=40,"P.A.A.L (0-6s)",IF(A55&lt;=75,"C.A.A.L (7-10s)",IF(A55&lt;=150,"P.A.L (11-20s)",IF(A55&lt;=350,"C.A.L (21-50s)",IF(A55&lt;=500,"P.A.E (1-2 min)","C.A.E (&gt;2 min)")))))</f>
        <v/>
      </c>
    </row>
    <row r="56" ht="15" customHeight="1" s="12">
      <c r="A56" s="19" t="n">
        <v>2900</v>
      </c>
      <c r="B56" s="19">
        <f>IF($B$8="---",0,(A56/100)*$B$8)</f>
        <v/>
      </c>
      <c r="C56" s="19">
        <f>IF(B56=0,0,A56/B56)</f>
        <v/>
      </c>
      <c r="D56" s="19">
        <f>IF(C56=0,0,10/C56)</f>
        <v/>
      </c>
      <c r="E56" s="19">
        <f>IF(C56=0,0,50/C56)</f>
        <v/>
      </c>
      <c r="F56" s="19">
        <f>IF(C56=0,0,100/C56)</f>
        <v/>
      </c>
      <c r="G56" s="19">
        <f>IF(A56&lt;=40,"2.5-3 min",IF(A56&lt;=75,"3-5 min",IF(A56&lt;=150,"6-10 min",IF(A56&lt;=350,"5-7 min",IF(A56&lt;=500,"3-4 min","1.5-2.5 min")))))</f>
        <v/>
      </c>
      <c r="H56" s="19">
        <f>IF(A56&lt;=75,"6-8 min","8-10 min")</f>
        <v/>
      </c>
      <c r="I56" s="19">
        <f>IF(A56&lt;=40,"P.A.A.L (0-6s)",IF(A56&lt;=75,"C.A.A.L (7-10s)",IF(A56&lt;=150,"P.A.L (11-20s)",IF(A56&lt;=350,"C.A.L (21-50s)",IF(A56&lt;=500,"P.A.E (1-2 min)","C.A.E (&gt;2 min)")))))</f>
        <v/>
      </c>
    </row>
    <row r="57" ht="15" customHeight="1" s="12">
      <c r="A57" s="20" t="n">
        <v>3100</v>
      </c>
      <c r="B57" s="20">
        <f>IF($B$8="---",0,(A57/100)*$B$8)</f>
        <v/>
      </c>
      <c r="C57" s="20">
        <f>IF(B57=0,0,A57/B57)</f>
        <v/>
      </c>
      <c r="D57" s="20">
        <f>IF(C57=0,0,10/C57)</f>
        <v/>
      </c>
      <c r="E57" s="20">
        <f>IF(C57=0,0,50/C57)</f>
        <v/>
      </c>
      <c r="F57" s="20">
        <f>IF(C57=0,0,100/C57)</f>
        <v/>
      </c>
      <c r="G57" s="20">
        <f>IF(A57&lt;=40,"2.5-3 min",IF(A57&lt;=75,"3-5 min",IF(A57&lt;=150,"6-10 min",IF(A57&lt;=350,"5-7 min",IF(A57&lt;=500,"3-4 min","1.5-2.5 min")))))</f>
        <v/>
      </c>
      <c r="H57" s="20">
        <f>IF(A57&lt;=75,"6-8 min","8-10 min")</f>
        <v/>
      </c>
      <c r="I57" s="20">
        <f>IF(A57&lt;=40,"P.A.A.L (0-6s)",IF(A57&lt;=75,"C.A.A.L (7-10s)",IF(A57&lt;=150,"P.A.L (11-20s)",IF(A57&lt;=350,"C.A.L (21-50s)",IF(A57&lt;=500,"P.A.E (1-2 min)","C.A.E (&gt;2 min)")))))</f>
        <v/>
      </c>
    </row>
    <row r="58" ht="15" customHeight="1" s="12">
      <c r="A58" s="19" t="n">
        <v>3300</v>
      </c>
      <c r="B58" s="19">
        <f>IF($B$8="---",0,(A58/100)*$B$8)</f>
        <v/>
      </c>
      <c r="C58" s="19">
        <f>IF(B58=0,0,A58/B58)</f>
        <v/>
      </c>
      <c r="D58" s="19">
        <f>IF(C58=0,0,10/C58)</f>
        <v/>
      </c>
      <c r="E58" s="19">
        <f>IF(C58=0,0,50/C58)</f>
        <v/>
      </c>
      <c r="F58" s="19">
        <f>IF(C58=0,0,100/C58)</f>
        <v/>
      </c>
      <c r="G58" s="19">
        <f>IF(A58&lt;=40,"2.5-3 min",IF(A58&lt;=75,"3-5 min",IF(A58&lt;=150,"6-10 min",IF(A58&lt;=350,"5-7 min",IF(A58&lt;=500,"3-4 min","1.5-2.5 min")))))</f>
        <v/>
      </c>
      <c r="H58" s="19">
        <f>IF(A58&lt;=75,"6-8 min","8-10 min")</f>
        <v/>
      </c>
      <c r="I58" s="19">
        <f>IF(A58&lt;=40,"P.A.A.L (0-6s)",IF(A58&lt;=75,"C.A.A.L (7-10s)",IF(A58&lt;=150,"P.A.L (11-20s)",IF(A58&lt;=350,"C.A.L (21-50s)",IF(A58&lt;=500,"P.A.E (1-2 min)","C.A.E (&gt;2 min)")))))</f>
        <v/>
      </c>
    </row>
    <row r="59" ht="15" customHeight="1" s="12">
      <c r="A59" s="20" t="n">
        <v>3500</v>
      </c>
      <c r="B59" s="20">
        <f>IF($B$8="---",0,(A59/100)*$B$8)</f>
        <v/>
      </c>
      <c r="C59" s="20">
        <f>IF(B59=0,0,A59/B59)</f>
        <v/>
      </c>
      <c r="D59" s="20">
        <f>IF(C59=0,0,10/C59)</f>
        <v/>
      </c>
      <c r="E59" s="20">
        <f>IF(C59=0,0,50/C59)</f>
        <v/>
      </c>
      <c r="F59" s="20">
        <f>IF(C59=0,0,100/C59)</f>
        <v/>
      </c>
      <c r="G59" s="20">
        <f>IF(A59&lt;=40,"2.5-3 min",IF(A59&lt;=75,"3-5 min",IF(A59&lt;=150,"6-10 min",IF(A59&lt;=350,"5-7 min",IF(A59&lt;=500,"3-4 min","1.5-2.5 min")))))</f>
        <v/>
      </c>
      <c r="H59" s="20">
        <f>IF(A59&lt;=75,"6-8 min","8-10 min")</f>
        <v/>
      </c>
      <c r="I59" s="20">
        <f>IF(A59&lt;=40,"P.A.A.L (0-6s)",IF(A59&lt;=75,"C.A.A.L (7-10s)",IF(A59&lt;=150,"P.A.L (11-20s)",IF(A59&lt;=350,"C.A.L (21-50s)",IF(A59&lt;=500,"P.A.E (1-2 min)","C.A.E (&gt;2 min)")))))</f>
        <v/>
      </c>
    </row>
    <row r="60" ht="15" customHeight="1" s="12">
      <c r="A60" s="19" t="n">
        <v>3700</v>
      </c>
      <c r="B60" s="19">
        <f>IF($B$8="---",0,(A60/100)*$B$8)</f>
        <v/>
      </c>
      <c r="C60" s="19">
        <f>IF(B60=0,0,A60/B60)</f>
        <v/>
      </c>
      <c r="D60" s="19">
        <f>IF(C60=0,0,10/C60)</f>
        <v/>
      </c>
      <c r="E60" s="19">
        <f>IF(C60=0,0,50/C60)</f>
        <v/>
      </c>
      <c r="F60" s="19">
        <f>IF(C60=0,0,100/C60)</f>
        <v/>
      </c>
      <c r="G60" s="19">
        <f>IF(A60&lt;=40,"2.5-3 min",IF(A60&lt;=75,"3-5 min",IF(A60&lt;=150,"6-10 min",IF(A60&lt;=350,"5-7 min",IF(A60&lt;=500,"3-4 min","1.5-2.5 min")))))</f>
        <v/>
      </c>
      <c r="H60" s="19">
        <f>IF(A60&lt;=75,"6-8 min","8-10 min")</f>
        <v/>
      </c>
      <c r="I60" s="19">
        <f>IF(A60&lt;=40,"P.A.A.L (0-6s)",IF(A60&lt;=75,"C.A.A.L (7-10s)",IF(A60&lt;=150,"P.A.L (11-20s)",IF(A60&lt;=350,"C.A.L (21-50s)",IF(A60&lt;=500,"P.A.E (1-2 min)","C.A.E (&gt;2 min)")))))</f>
        <v/>
      </c>
    </row>
    <row r="61" ht="15" customHeight="1" s="12">
      <c r="A61" s="20" t="n">
        <v>3900</v>
      </c>
      <c r="B61" s="20">
        <f>IF($B$8="---",0,(A61/100)*$B$8)</f>
        <v/>
      </c>
      <c r="C61" s="20">
        <f>IF(B61=0,0,A61/B61)</f>
        <v/>
      </c>
      <c r="D61" s="20">
        <f>IF(C61=0,0,10/C61)</f>
        <v/>
      </c>
      <c r="E61" s="20">
        <f>IF(C61=0,0,50/C61)</f>
        <v/>
      </c>
      <c r="F61" s="20">
        <f>IF(C61=0,0,100/C61)</f>
        <v/>
      </c>
      <c r="G61" s="20">
        <f>IF(A61&lt;=40,"2.5-3 min",IF(A61&lt;=75,"3-5 min",IF(A61&lt;=150,"6-10 min",IF(A61&lt;=350,"5-7 min",IF(A61&lt;=500,"3-4 min","1.5-2.5 min")))))</f>
        <v/>
      </c>
      <c r="H61" s="20">
        <f>IF(A61&lt;=75,"6-8 min","8-10 min")</f>
        <v/>
      </c>
      <c r="I61" s="20">
        <f>IF(A61&lt;=40,"P.A.A.L (0-6s)",IF(A61&lt;=75,"C.A.A.L (7-10s)",IF(A61&lt;=150,"P.A.L (11-20s)",IF(A61&lt;=350,"C.A.L (21-50s)",IF(A61&lt;=500,"P.A.E (1-2 min)","C.A.E (&gt;2 min)")))))</f>
        <v/>
      </c>
    </row>
    <row r="62" ht="15" customHeight="1" s="12">
      <c r="A62" s="19" t="n">
        <v>4100</v>
      </c>
      <c r="B62" s="19">
        <f>IF($B$8="---",0,(A62/100)*$B$8)</f>
        <v/>
      </c>
      <c r="C62" s="19">
        <f>IF(B62=0,0,A62/B62)</f>
        <v/>
      </c>
      <c r="D62" s="19">
        <f>IF(C62=0,0,10/C62)</f>
        <v/>
      </c>
      <c r="E62" s="19">
        <f>IF(C62=0,0,50/C62)</f>
        <v/>
      </c>
      <c r="F62" s="19">
        <f>IF(C62=0,0,100/C62)</f>
        <v/>
      </c>
      <c r="G62" s="19">
        <f>IF(A62&lt;=40,"2.5-3 min",IF(A62&lt;=75,"3-5 min",IF(A62&lt;=150,"6-10 min",IF(A62&lt;=350,"5-7 min",IF(A62&lt;=500,"3-4 min","1.5-2.5 min")))))</f>
        <v/>
      </c>
      <c r="H62" s="19">
        <f>IF(A62&lt;=75,"6-8 min","8-10 min")</f>
        <v/>
      </c>
      <c r="I62" s="19">
        <f>IF(A62&lt;=40,"P.A.A.L (0-6s)",IF(A62&lt;=75,"C.A.A.L (7-10s)",IF(A62&lt;=150,"P.A.L (11-20s)",IF(A62&lt;=350,"C.A.L (21-50s)",IF(A62&lt;=500,"P.A.E (1-2 min)","C.A.E (&gt;2 min)")))))</f>
        <v/>
      </c>
    </row>
    <row r="63" ht="15" customHeight="1" s="12">
      <c r="A63" s="20" t="n">
        <v>4300</v>
      </c>
      <c r="B63" s="20">
        <f>IF($B$8="---",0,(A63/100)*$B$8)</f>
        <v/>
      </c>
      <c r="C63" s="20">
        <f>IF(B63=0,0,A63/B63)</f>
        <v/>
      </c>
      <c r="D63" s="20">
        <f>IF(C63=0,0,10/C63)</f>
        <v/>
      </c>
      <c r="E63" s="20">
        <f>IF(C63=0,0,50/C63)</f>
        <v/>
      </c>
      <c r="F63" s="20">
        <f>IF(C63=0,0,100/C63)</f>
        <v/>
      </c>
      <c r="G63" s="20">
        <f>IF(A63&lt;=40,"2.5-3 min",IF(A63&lt;=75,"3-5 min",IF(A63&lt;=150,"6-10 min",IF(A63&lt;=350,"5-7 min",IF(A63&lt;=500,"3-4 min","1.5-2.5 min")))))</f>
        <v/>
      </c>
      <c r="H63" s="20">
        <f>IF(A63&lt;=75,"6-8 min","8-10 min")</f>
        <v/>
      </c>
      <c r="I63" s="20">
        <f>IF(A63&lt;=40,"P.A.A.L (0-6s)",IF(A63&lt;=75,"C.A.A.L (7-10s)",IF(A63&lt;=150,"P.A.L (11-20s)",IF(A63&lt;=350,"C.A.L (21-50s)",IF(A63&lt;=500,"P.A.E (1-2 min)","C.A.E (&gt;2 min)")))))</f>
        <v/>
      </c>
    </row>
    <row r="64" ht="15" customHeight="1" s="12">
      <c r="A64" s="19" t="n">
        <v>4500</v>
      </c>
      <c r="B64" s="19">
        <f>IF($B$8="---",0,(A64/100)*$B$8)</f>
        <v/>
      </c>
      <c r="C64" s="19">
        <f>IF(B64=0,0,A64/B64)</f>
        <v/>
      </c>
      <c r="D64" s="19">
        <f>IF(C64=0,0,10/C64)</f>
        <v/>
      </c>
      <c r="E64" s="19">
        <f>IF(C64=0,0,50/C64)</f>
        <v/>
      </c>
      <c r="F64" s="19">
        <f>IF(C64=0,0,100/C64)</f>
        <v/>
      </c>
      <c r="G64" s="19">
        <f>IF(A64&lt;=40,"2.5-3 min",IF(A64&lt;=75,"3-5 min",IF(A64&lt;=150,"6-10 min",IF(A64&lt;=350,"5-7 min",IF(A64&lt;=500,"3-4 min","1.5-2.5 min")))))</f>
        <v/>
      </c>
      <c r="H64" s="19">
        <f>IF(A64&lt;=75,"6-8 min","8-10 min")</f>
        <v/>
      </c>
      <c r="I64" s="19">
        <f>IF(A64&lt;=40,"P.A.A.L (0-6s)",IF(A64&lt;=75,"C.A.A.L (7-10s)",IF(A64&lt;=150,"P.A.L (11-20s)",IF(A64&lt;=350,"C.A.L (21-50s)",IF(A64&lt;=500,"P.A.E (1-2 min)","C.A.E (&gt;2 min)")))))</f>
        <v/>
      </c>
    </row>
    <row r="65" ht="15" customHeight="1" s="12">
      <c r="A65" s="20" t="n">
        <v>4700</v>
      </c>
      <c r="B65" s="20">
        <f>IF($B$8="---",0,(A65/100)*$B$8)</f>
        <v/>
      </c>
      <c r="C65" s="20">
        <f>IF(B65=0,0,A65/B65)</f>
        <v/>
      </c>
      <c r="D65" s="20">
        <f>IF(C65=0,0,10/C65)</f>
        <v/>
      </c>
      <c r="E65" s="20">
        <f>IF(C65=0,0,50/C65)</f>
        <v/>
      </c>
      <c r="F65" s="20">
        <f>IF(C65=0,0,100/C65)</f>
        <v/>
      </c>
      <c r="G65" s="20">
        <f>IF(A65&lt;=40,"2.5-3 min",IF(A65&lt;=75,"3-5 min",IF(A65&lt;=150,"6-10 min",IF(A65&lt;=350,"5-7 min",IF(A65&lt;=500,"3-4 min","1.5-2.5 min")))))</f>
        <v/>
      </c>
      <c r="H65" s="20">
        <f>IF(A65&lt;=75,"6-8 min","8-10 min")</f>
        <v/>
      </c>
      <c r="I65" s="20">
        <f>IF(A65&lt;=40,"P.A.A.L (0-6s)",IF(A65&lt;=75,"C.A.A.L (7-10s)",IF(A65&lt;=150,"P.A.L (11-20s)",IF(A65&lt;=350,"C.A.L (21-50s)",IF(A65&lt;=500,"P.A.E (1-2 min)","C.A.E (&gt;2 min)")))))</f>
        <v/>
      </c>
    </row>
    <row r="66" ht="15" customHeight="1" s="12">
      <c r="A66" s="19" t="n">
        <v>4900</v>
      </c>
      <c r="B66" s="19">
        <f>IF($B$8="---",0,(A66/100)*$B$8)</f>
        <v/>
      </c>
      <c r="C66" s="19">
        <f>IF(B66=0,0,A66/B66)</f>
        <v/>
      </c>
      <c r="D66" s="19">
        <f>IF(C66=0,0,10/C66)</f>
        <v/>
      </c>
      <c r="E66" s="19">
        <f>IF(C66=0,0,50/C66)</f>
        <v/>
      </c>
      <c r="F66" s="19">
        <f>IF(C66=0,0,100/C66)</f>
        <v/>
      </c>
      <c r="G66" s="19">
        <f>IF(A66&lt;=40,"2.5-3 min",IF(A66&lt;=75,"3-5 min",IF(A66&lt;=150,"6-10 min",IF(A66&lt;=350,"5-7 min",IF(A66&lt;=500,"3-4 min","1.5-2.5 min")))))</f>
        <v/>
      </c>
      <c r="H66" s="19">
        <f>IF(A66&lt;=75,"6-8 min","8-10 min")</f>
        <v/>
      </c>
      <c r="I66" s="19">
        <f>IF(A66&lt;=40,"P.A.A.L (0-6s)",IF(A66&lt;=75,"C.A.A.L (7-10s)",IF(A66&lt;=150,"P.A.L (11-20s)",IF(A66&lt;=350,"C.A.L (21-50s)",IF(A66&lt;=500,"P.A.E (1-2 min)","C.A.E (&gt;2 min)")))))</f>
        <v/>
      </c>
    </row>
    <row r="67" ht="15" customHeight="1" s="12">
      <c r="A67" s="20" t="n">
        <v>5100</v>
      </c>
      <c r="B67" s="20">
        <f>IF($B$8="---",0,(A67/100)*$B$8)</f>
        <v/>
      </c>
      <c r="C67" s="20">
        <f>IF(B67=0,0,A67/B67)</f>
        <v/>
      </c>
      <c r="D67" s="20">
        <f>IF(C67=0,0,10/C67)</f>
        <v/>
      </c>
      <c r="E67" s="20">
        <f>IF(C67=0,0,50/C67)</f>
        <v/>
      </c>
      <c r="F67" s="20">
        <f>IF(C67=0,0,100/C67)</f>
        <v/>
      </c>
      <c r="G67" s="20">
        <f>IF(A67&lt;=40,"2.5-3 min",IF(A67&lt;=75,"3-5 min",IF(A67&lt;=150,"6-10 min",IF(A67&lt;=350,"5-7 min",IF(A67&lt;=500,"3-4 min","1.5-2.5 min")))))</f>
        <v/>
      </c>
      <c r="H67" s="20">
        <f>IF(A67&lt;=75,"6-8 min","8-10 min")</f>
        <v/>
      </c>
      <c r="I67" s="20">
        <f>IF(A67&lt;=40,"P.A.A.L (0-6s)",IF(A67&lt;=75,"C.A.A.L (7-10s)",IF(A67&lt;=150,"P.A.L (11-20s)",IF(A67&lt;=350,"C.A.L (21-50s)",IF(A67&lt;=500,"P.A.E (1-2 min)","C.A.E (&gt;2 min)")))))</f>
        <v/>
      </c>
    </row>
  </sheetData>
  <mergeCells count="2">
    <mergeCell ref="A12:I1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2026-09-04T04:55:41Z</dcterms:created>
  <dcterms:modified xsi:type="dcterms:W3CDTF">2026-09-07T15:52:24Z</dcterms:modified>
  <cp:revision>0</cp:revision>
</cp:coreProperties>
</file>