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Rit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:ss.0"/>
  </numFmts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4B5563"/>
      <sz val="10"/>
    </font>
    <font>
      <name val="Arial"/>
      <b val="1"/>
      <color rgb="00111827"/>
      <sz val="10"/>
    </font>
    <font>
      <name val="Arial"/>
      <b val="1"/>
      <color rgb="00FFFFFF"/>
      <sz val="10"/>
    </font>
    <font>
      <name val="Arial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 wrapText="1"/>
    </xf>
    <xf numFmtId="3" fontId="5" fillId="4" borderId="2" applyAlignment="1" pivotButton="0" quotePrefix="0" xfId="0">
      <alignment horizontal="center" vertical="center"/>
    </xf>
    <xf numFmtId="9" fontId="5" fillId="4" borderId="2" applyAlignment="1" pivotButton="0" quotePrefix="0" xfId="0">
      <alignment horizontal="center" vertical="center"/>
    </xf>
    <xf numFmtId="2" fontId="5" fillId="4" borderId="2" applyAlignment="1" pivotButton="0" quotePrefix="0" xfId="0">
      <alignment horizontal="center" vertical="center"/>
    </xf>
    <xf numFmtId="2" fontId="3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CONTROL Y CALCULADORA DE RITMOS E INTENSIDADES POR ATLETA</t>
        </is>
      </c>
    </row>
    <row r="2">
      <c r="A2" s="2" t="inlineStr">
        <is>
          <t>Ingrese la distancia y el tiempo objetivo de la prueba principal (ej. 400m en 50s) para calcular automáticamente los ritmos según distancia y % de intensidad.</t>
        </is>
      </c>
    </row>
    <row r="4">
      <c r="B4" s="3" t="inlineStr">
        <is>
          <t>Prueba / Distancia de Referencia (m):</t>
        </is>
      </c>
      <c r="C4" s="4" t="n">
        <v>400</v>
      </c>
    </row>
    <row r="5">
      <c r="B5" s="3" t="inlineStr">
        <is>
          <t>Tiempo Objetivo en Referencia (s):</t>
        </is>
      </c>
      <c r="C5" s="5" t="n">
        <v>50</v>
      </c>
    </row>
    <row r="6">
      <c r="B6" s="3" t="inlineStr">
        <is>
          <t>Velocidad de Referencia (m/s):</t>
        </is>
      </c>
      <c r="C6" s="6">
        <f>C4/C5</f>
        <v/>
      </c>
    </row>
    <row r="9" ht="25" customHeight="1">
      <c r="A9" s="7" t="inlineStr">
        <is>
          <t>Distancia de Trabajo (m)</t>
        </is>
      </c>
      <c r="B9" s="7" t="inlineStr">
        <is>
          <t>Intensidad Solicitada (%)</t>
        </is>
      </c>
      <c r="C9" s="7" t="inlineStr">
        <is>
          <t>Velocidad Ajustada (m/s)</t>
        </is>
      </c>
      <c r="D9" s="7" t="inlineStr">
        <is>
          <t>Tiempo Objetivo (s)</t>
        </is>
      </c>
      <c r="E9" s="7" t="inlineStr">
        <is>
          <t>Ritmo Min/Km (Ref)</t>
        </is>
      </c>
      <c r="F9" s="7" t="inlineStr">
        <is>
          <t>Sistema Energético / Zona</t>
        </is>
      </c>
    </row>
    <row r="10" ht="20" customHeight="1">
      <c r="A10" s="8" t="n">
        <v>30</v>
      </c>
      <c r="B10" s="9" t="n">
        <v>1</v>
      </c>
      <c r="C10" s="10">
        <f>($C$6 * B10) * 1.05</f>
        <v/>
      </c>
      <c r="D10" s="11">
        <f>A10/C10</f>
        <v/>
      </c>
      <c r="E10" s="12">
        <f>(D10/A10) * 16.6666667 / 1440</f>
        <v/>
      </c>
      <c r="F10" s="13" t="inlineStr">
        <is>
          <t>Fosfágeno Aláctico (Velocidad Pura)</t>
        </is>
      </c>
    </row>
    <row r="11" ht="20" customHeight="1">
      <c r="A11" s="14" t="n">
        <v>30</v>
      </c>
      <c r="B11" s="15" t="n">
        <v>0.95</v>
      </c>
      <c r="C11" s="16">
        <f>($C$6 * B11) * 1.05</f>
        <v/>
      </c>
      <c r="D11" s="17">
        <f>A11/C11</f>
        <v/>
      </c>
      <c r="E11" s="18">
        <f>(D11/A11) * 16.6666667 / 1440</f>
        <v/>
      </c>
      <c r="F11" s="19" t="inlineStr">
        <is>
          <t>Fosfágeno Aláctico (Velocidad)</t>
        </is>
      </c>
    </row>
    <row r="12" ht="20" customHeight="1">
      <c r="A12" s="8" t="n">
        <v>60</v>
      </c>
      <c r="B12" s="9" t="n">
        <v>1</v>
      </c>
      <c r="C12" s="10">
        <f>($C$6 * B12) * 1.05</f>
        <v/>
      </c>
      <c r="D12" s="11">
        <f>A12/C12</f>
        <v/>
      </c>
      <c r="E12" s="12">
        <f>(D12/A12) * 16.6666667 / 1440</f>
        <v/>
      </c>
      <c r="F12" s="13" t="inlineStr">
        <is>
          <t>Fosfágeno / Máxima Velocidad</t>
        </is>
      </c>
    </row>
    <row r="13" ht="20" customHeight="1">
      <c r="A13" s="14" t="n">
        <v>60</v>
      </c>
      <c r="B13" s="15" t="n">
        <v>0.9</v>
      </c>
      <c r="C13" s="16">
        <f>($C$6 * B13) * 1.05</f>
        <v/>
      </c>
      <c r="D13" s="17">
        <f>A13/C13</f>
        <v/>
      </c>
      <c r="E13" s="18">
        <f>(D13/A13) * 16.6666667 / 1440</f>
        <v/>
      </c>
      <c r="F13" s="19" t="inlineStr">
        <is>
          <t>Fosfágeno / Velocidad Submáxima</t>
        </is>
      </c>
    </row>
    <row r="14" ht="20" customHeight="1">
      <c r="A14" s="8" t="n">
        <v>100</v>
      </c>
      <c r="B14" s="9" t="n">
        <v>1</v>
      </c>
      <c r="C14" s="10">
        <f>($C$6 * B14) * 1.00</f>
        <v/>
      </c>
      <c r="D14" s="11">
        <f>A14/C14</f>
        <v/>
      </c>
      <c r="E14" s="12">
        <f>(D14/A14) * 16.6666667 / 1440</f>
        <v/>
      </c>
      <c r="F14" s="13" t="inlineStr">
        <is>
          <t>Velocidad Máxima (Prueba Corta)</t>
        </is>
      </c>
    </row>
    <row r="15" ht="20" customHeight="1">
      <c r="A15" s="14" t="n">
        <v>100</v>
      </c>
      <c r="B15" s="15" t="n">
        <v>0.95</v>
      </c>
      <c r="C15" s="16">
        <f>($C$6 * B15) * 1.00</f>
        <v/>
      </c>
      <c r="D15" s="17">
        <f>A15/C15</f>
        <v/>
      </c>
      <c r="E15" s="18">
        <f>(D15/A15) * 16.6666667 / 1440</f>
        <v/>
      </c>
      <c r="F15" s="19" t="inlineStr">
        <is>
          <t>Resistencia a la Velocidad</t>
        </is>
      </c>
    </row>
    <row r="16" ht="20" customHeight="1">
      <c r="A16" s="8" t="n">
        <v>100</v>
      </c>
      <c r="B16" s="9" t="n">
        <v>0.9</v>
      </c>
      <c r="C16" s="10">
        <f>($C$6 * B16) * 1.00</f>
        <v/>
      </c>
      <c r="D16" s="11">
        <f>A16/C16</f>
        <v/>
      </c>
      <c r="E16" s="12">
        <f>(D16/A16) * 16.6666667 / 1440</f>
        <v/>
      </c>
      <c r="F16" s="13" t="inlineStr">
        <is>
          <t>Resistencia a la Velocidad</t>
        </is>
      </c>
    </row>
    <row r="17" ht="20" customHeight="1">
      <c r="A17" s="14" t="n">
        <v>150</v>
      </c>
      <c r="B17" s="15" t="n">
        <v>0.95</v>
      </c>
      <c r="C17" s="16">
        <f>($C$6 * B17) * 1.00</f>
        <v/>
      </c>
      <c r="D17" s="17">
        <f>A17/C17</f>
        <v/>
      </c>
      <c r="E17" s="18">
        <f>(D17/A17) * 16.6666667 / 1440</f>
        <v/>
      </c>
      <c r="F17" s="19" t="inlineStr">
        <is>
          <t>Potencia Láctica / Aláctica</t>
        </is>
      </c>
    </row>
    <row r="18" ht="20" customHeight="1">
      <c r="A18" s="8" t="n">
        <v>150</v>
      </c>
      <c r="B18" s="9" t="n">
        <v>0.85</v>
      </c>
      <c r="C18" s="10">
        <f>($C$6 * B18) * 1.00</f>
        <v/>
      </c>
      <c r="D18" s="11">
        <f>A18/C18</f>
        <v/>
      </c>
      <c r="E18" s="12">
        <f>(D18/A18) * 16.6666667 / 1440</f>
        <v/>
      </c>
      <c r="F18" s="13" t="inlineStr">
        <is>
          <t>Resistencia Anaeróbica Láctica</t>
        </is>
      </c>
    </row>
    <row r="19" ht="20" customHeight="1">
      <c r="A19" s="14" t="n">
        <v>200</v>
      </c>
      <c r="B19" s="15" t="n">
        <v>1</v>
      </c>
      <c r="C19" s="16">
        <f>($C$6 * B19) * 1.00</f>
        <v/>
      </c>
      <c r="D19" s="17">
        <f>A19/C19</f>
        <v/>
      </c>
      <c r="E19" s="18">
        <f>(D19/A19) * 16.6666667 / 1440</f>
        <v/>
      </c>
      <c r="F19" s="19" t="inlineStr">
        <is>
          <t>Velocidad Prolongada / Récord</t>
        </is>
      </c>
    </row>
    <row r="20" ht="20" customHeight="1">
      <c r="A20" s="8" t="n">
        <v>200</v>
      </c>
      <c r="B20" s="9" t="n">
        <v>0.9</v>
      </c>
      <c r="C20" s="10">
        <f>($C$6 * B20) * 1.00</f>
        <v/>
      </c>
      <c r="D20" s="11">
        <f>A20/C20</f>
        <v/>
      </c>
      <c r="E20" s="12">
        <f>(D20/A20) * 16.6666667 / 1440</f>
        <v/>
      </c>
      <c r="F20" s="13" t="inlineStr">
        <is>
          <t>Capacidad Láctica / Ritmo Específico</t>
        </is>
      </c>
    </row>
    <row r="21" ht="20" customHeight="1">
      <c r="A21" s="14" t="n">
        <v>200</v>
      </c>
      <c r="B21" s="15" t="n">
        <v>0.8</v>
      </c>
      <c r="C21" s="16">
        <f>($C$6 * B21) * 1.00</f>
        <v/>
      </c>
      <c r="D21" s="17">
        <f>A21/C21</f>
        <v/>
      </c>
      <c r="E21" s="18">
        <f>(D21/A21) * 16.6666667 / 1440</f>
        <v/>
      </c>
      <c r="F21" s="19" t="inlineStr">
        <is>
          <t>Resistencia Aeróbica / Aeróbico Máx</t>
        </is>
      </c>
    </row>
    <row r="22" ht="20" customHeight="1">
      <c r="A22" s="8" t="n">
        <v>300</v>
      </c>
      <c r="B22" s="9" t="n">
        <v>0.95</v>
      </c>
      <c r="C22" s="10">
        <f>($C$6 * B22) * (1 - 0.02 * LN(A22/C$4 + 1))</f>
        <v/>
      </c>
      <c r="D22" s="11">
        <f>A22/C22</f>
        <v/>
      </c>
      <c r="E22" s="12">
        <f>(D22/A22) * 16.6666667 / 1440</f>
        <v/>
      </c>
      <c r="F22" s="13" t="inlineStr">
        <is>
          <t>Resistencia a la Velocidad Láctica</t>
        </is>
      </c>
    </row>
    <row r="23" ht="20" customHeight="1">
      <c r="A23" s="14" t="n">
        <v>300</v>
      </c>
      <c r="B23" s="15" t="n">
        <v>0.85</v>
      </c>
      <c r="C23" s="16">
        <f>($C$6 * B23) * (1 - 0.02 * LN(A23/C$4 + 1))</f>
        <v/>
      </c>
      <c r="D23" s="17">
        <f>A23/C23</f>
        <v/>
      </c>
      <c r="E23" s="18">
        <f>(D23/A23) * 16.6666667 / 1440</f>
        <v/>
      </c>
      <c r="F23" s="19" t="inlineStr">
        <is>
          <t>Capacidad Láctica Controlada</t>
        </is>
      </c>
    </row>
    <row r="24" ht="20" customHeight="1">
      <c r="A24" s="8" t="n">
        <v>300</v>
      </c>
      <c r="B24" s="9" t="n">
        <v>0.75</v>
      </c>
      <c r="C24" s="10">
        <f>($C$6 * B24) * (1 - 0.02 * LN(A24/C$4 + 1))</f>
        <v/>
      </c>
      <c r="D24" s="11">
        <f>A24/C24</f>
        <v/>
      </c>
      <c r="E24" s="12">
        <f>(D24/A24) * 16.6666667 / 1440</f>
        <v/>
      </c>
      <c r="F24" s="13" t="inlineStr">
        <is>
          <t>Umbral Anaeróbico / Extensivo</t>
        </is>
      </c>
    </row>
    <row r="25" ht="20" customHeight="1">
      <c r="A25" s="14" t="n">
        <v>400</v>
      </c>
      <c r="B25" s="15" t="n">
        <v>1</v>
      </c>
      <c r="C25" s="16">
        <f>($C$6 * B25) * (1 - 0.02 * LN(A25/C$4 + 1))</f>
        <v/>
      </c>
      <c r="D25" s="17">
        <f>A25/C25</f>
        <v/>
      </c>
      <c r="E25" s="18">
        <f>(D25/A25) * 16.6666667 / 1440</f>
        <v/>
      </c>
      <c r="F25" s="19" t="inlineStr">
        <is>
          <t>Prueba Benchmark (100%)</t>
        </is>
      </c>
    </row>
    <row r="26" ht="20" customHeight="1">
      <c r="A26" s="8" t="n">
        <v>400</v>
      </c>
      <c r="B26" s="9" t="n">
        <v>0.95</v>
      </c>
      <c r="C26" s="10">
        <f>($C$6 * B26) * (1 - 0.02 * LN(A26/C$4 + 1))</f>
        <v/>
      </c>
      <c r="D26" s="11">
        <f>A26/C26</f>
        <v/>
      </c>
      <c r="E26" s="12">
        <f>(D26/A26) * 16.6666667 / 1440</f>
        <v/>
      </c>
      <c r="F26" s="13" t="inlineStr">
        <is>
          <t>Ritmo Competitivo Submáximo (95%)</t>
        </is>
      </c>
    </row>
    <row r="27" ht="20" customHeight="1">
      <c r="A27" s="14" t="n">
        <v>400</v>
      </c>
      <c r="B27" s="15" t="n">
        <v>0.9</v>
      </c>
      <c r="C27" s="16">
        <f>($C$6 * B27) * (1 - 0.02 * LN(A27/C$4 + 1))</f>
        <v/>
      </c>
      <c r="D27" s="17">
        <f>A27/C27</f>
        <v/>
      </c>
      <c r="E27" s="18">
        <f>(D27/A27) * 16.6666667 / 1440</f>
        <v/>
      </c>
      <c r="F27" s="19" t="inlineStr">
        <is>
          <t>Ritmo Competitivo (90%)</t>
        </is>
      </c>
    </row>
    <row r="28" ht="20" customHeight="1">
      <c r="A28" s="8" t="n">
        <v>400</v>
      </c>
      <c r="B28" s="9" t="n">
        <v>0.85</v>
      </c>
      <c r="C28" s="10">
        <f>($C$6 * B28) * (1 - 0.02 * LN(A28/C$4 + 1))</f>
        <v/>
      </c>
      <c r="D28" s="11">
        <f>A28/C28</f>
        <v/>
      </c>
      <c r="E28" s="12">
        <f>(D28/A28) * 16.6666667 / 1440</f>
        <v/>
      </c>
      <c r="F28" s="13" t="inlineStr">
        <is>
          <t>Ritmo Competitivo (85%)</t>
        </is>
      </c>
    </row>
    <row r="29" ht="20" customHeight="1">
      <c r="A29" s="14" t="n">
        <v>400</v>
      </c>
      <c r="B29" s="15" t="n">
        <v>0.8</v>
      </c>
      <c r="C29" s="16">
        <f>($C$6 * B29) * (1 - 0.02 * LN(A29/C$4 + 1))</f>
        <v/>
      </c>
      <c r="D29" s="17">
        <f>A29/C29</f>
        <v/>
      </c>
      <c r="E29" s="18">
        <f>(D29/A29) * 16.6666667 / 1440</f>
        <v/>
      </c>
      <c r="F29" s="19" t="inlineStr">
        <is>
          <t>Ritmo Competitivo (80%)</t>
        </is>
      </c>
    </row>
    <row r="30" ht="20" customHeight="1">
      <c r="A30" s="8" t="n">
        <v>500</v>
      </c>
      <c r="B30" s="9" t="n">
        <v>0.85</v>
      </c>
      <c r="C30" s="10">
        <f>($C$6 * B30) * (1 - 0.06 * LN(A30/C$4))</f>
        <v/>
      </c>
      <c r="D30" s="11">
        <f>A30/C30</f>
        <v/>
      </c>
      <c r="E30" s="12">
        <f>(D30/A30) * 16.6666667 / 1440</f>
        <v/>
      </c>
      <c r="F30" s="13" t="inlineStr">
        <is>
          <t>Resistencia Aeróbica Láctica</t>
        </is>
      </c>
    </row>
    <row r="31" ht="20" customHeight="1">
      <c r="A31" s="14" t="n">
        <v>500</v>
      </c>
      <c r="B31" s="15" t="n">
        <v>0.75</v>
      </c>
      <c r="C31" s="16">
        <f>($C$6 * B31) * (1 - 0.06 * LN(A31/C$4))</f>
        <v/>
      </c>
      <c r="D31" s="17">
        <f>A31/C31</f>
        <v/>
      </c>
      <c r="E31" s="18">
        <f>(D31/A31) * 16.6666667 / 1440</f>
        <v/>
      </c>
      <c r="F31" s="19" t="inlineStr">
        <is>
          <t>Potencia Aeróbica</t>
        </is>
      </c>
    </row>
    <row r="32" ht="20" customHeight="1">
      <c r="A32" s="8" t="n">
        <v>600</v>
      </c>
      <c r="B32" s="9" t="n">
        <v>0.8</v>
      </c>
      <c r="C32" s="10">
        <f>($C$6 * B32) * (1 - 0.06 * LN(A32/C$4))</f>
        <v/>
      </c>
      <c r="D32" s="11">
        <f>A32/C32</f>
        <v/>
      </c>
      <c r="E32" s="12">
        <f>(D32/A32) * 16.6666667 / 1440</f>
        <v/>
      </c>
      <c r="F32" s="13" t="inlineStr">
        <is>
          <t>Capacidad Aeróbica / Sostenimiento</t>
        </is>
      </c>
    </row>
    <row r="33" ht="20" customHeight="1">
      <c r="A33" s="14" t="n">
        <v>800</v>
      </c>
      <c r="B33" s="15" t="n">
        <v>0.75</v>
      </c>
      <c r="C33" s="16">
        <f>($C$6 * B33) * (1 - 0.06 * LN(A33/C$4))</f>
        <v/>
      </c>
      <c r="D33" s="17">
        <f>A33/C33</f>
        <v/>
      </c>
      <c r="E33" s="18">
        <f>(D33/A33) * 16.6666667 / 1440</f>
        <v/>
      </c>
      <c r="F33" s="19" t="inlineStr">
        <is>
          <t>Aeróbico / Medio Fondo</t>
        </is>
      </c>
    </row>
    <row r="34" ht="20" customHeight="1">
      <c r="A34" s="8" t="n">
        <v>1000</v>
      </c>
      <c r="B34" s="9" t="n">
        <v>0.7</v>
      </c>
      <c r="C34" s="10">
        <f>($C$6 * B34) * (1 - 0.06 * LN(A34/C$4))</f>
        <v/>
      </c>
      <c r="D34" s="11">
        <f>A34/C34</f>
        <v/>
      </c>
      <c r="E34" s="12">
        <f>(D34/A34) * 16.6666667 / 1440</f>
        <v/>
      </c>
      <c r="F34" s="13" t="inlineStr">
        <is>
          <t>Aeróbico Extensivo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2026-09-09T03:17:13Z</dcterms:created>
  <dcterms:modified xmlns:dcterms="http://purl.org/dc/terms/" xmlns:xsi="http://www.w3.org/2001/XMLSchema-instance" xsi:type="dcterms:W3CDTF">2026-09-09T03:17:13Z</dcterms:modified>
</cp:coreProperties>
</file>